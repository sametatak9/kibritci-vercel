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kibritci_web\public\"/>
    </mc:Choice>
  </mc:AlternateContent>
  <xr:revisionPtr revIDLastSave="0" documentId="8_{F439C503-F833-40E2-BB03-0045107F9006}" xr6:coauthVersionLast="47" xr6:coauthVersionMax="47" xr10:uidLastSave="{00000000-0000-0000-0000-000000000000}"/>
  <bookViews>
    <workbookView xWindow="-108" yWindow="-108" windowWidth="23256" windowHeight="12576" xr2:uid="{326D0F3E-8D9F-4628-AF0E-D79C46E23F24}"/>
  </bookViews>
  <sheets>
    <sheet name="ARNAVUTKÖY" sheetId="5" r:id="rId1"/>
    <sheet name="Sayfa1" sheetId="9" r:id="rId2"/>
    <sheet name="HURDA SATIŞ İCMAALİ" sheetId="7" r:id="rId3"/>
  </sheets>
  <definedNames>
    <definedName name="_xlnm._FilterDatabase" localSheetId="0" hidden="1">ARNAVUTKÖY!$A$2:$A$2</definedName>
    <definedName name="_xlnm.Print_Area" localSheetId="0">ARNAVUTKÖY!$A$580:$G$594</definedName>
  </definedNames>
  <calcPr calcId="191029"/>
</workbook>
</file>

<file path=xl/calcChain.xml><?xml version="1.0" encoding="utf-8"?>
<calcChain xmlns="http://schemas.openxmlformats.org/spreadsheetml/2006/main">
  <c r="E39" i="7" l="1"/>
  <c r="F39" i="7"/>
  <c r="F4" i="7"/>
  <c r="E1" i="5"/>
  <c r="F1" i="5"/>
  <c r="G1" i="5"/>
  <c r="G3" i="5"/>
  <c r="G4" i="5"/>
  <c r="G5" i="5"/>
  <c r="G6" i="5"/>
  <c r="G7" i="5"/>
  <c r="G8" i="5"/>
  <c r="G9" i="5"/>
  <c r="G10" i="5"/>
  <c r="G11" i="5"/>
  <c r="G12" i="5"/>
  <c r="G13" i="5"/>
  <c r="G14" i="5"/>
  <c r="G15" i="5" s="1"/>
  <c r="G16" i="5" s="1"/>
  <c r="G17" i="5" s="1"/>
  <c r="G18" i="5" s="1"/>
  <c r="G19" i="5" s="1"/>
  <c r="G20" i="5"/>
  <c r="G21" i="5" s="1"/>
  <c r="G22" i="5" s="1"/>
  <c r="G23" i="5" s="1"/>
  <c r="G24" i="5" s="1"/>
  <c r="G25" i="5" s="1"/>
  <c r="G26" i="5" s="1"/>
  <c r="G27" i="5"/>
  <c r="G28" i="5"/>
  <c r="G29" i="5" s="1"/>
  <c r="G30" i="5" s="1"/>
  <c r="G31" i="5"/>
  <c r="G32" i="5"/>
  <c r="G33" i="5"/>
  <c r="G34" i="5" s="1"/>
  <c r="G35" i="5" s="1"/>
  <c r="G36" i="5" s="1"/>
  <c r="G37" i="5" s="1"/>
  <c r="G38" i="5" s="1"/>
  <c r="G39" i="5"/>
  <c r="G40" i="5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G1002" i="5" s="1"/>
  <c r="G1003" i="5" s="1"/>
  <c r="G1004" i="5" s="1"/>
  <c r="G1005" i="5" s="1"/>
  <c r="G1006" i="5" s="1"/>
  <c r="G1007" i="5" s="1"/>
  <c r="G1008" i="5" s="1"/>
  <c r="G1009" i="5" s="1"/>
  <c r="G1010" i="5" s="1"/>
  <c r="G1011" i="5" s="1"/>
  <c r="G1012" i="5" s="1"/>
  <c r="G1013" i="5" s="1"/>
  <c r="G1014" i="5" s="1"/>
  <c r="G1015" i="5" s="1"/>
  <c r="G1016" i="5" s="1"/>
  <c r="G1017" i="5" s="1"/>
  <c r="G1018" i="5" s="1"/>
  <c r="G1019" i="5" s="1"/>
  <c r="G1020" i="5" s="1"/>
  <c r="G1021" i="5" s="1"/>
  <c r="G1022" i="5" s="1"/>
  <c r="G1023" i="5" s="1"/>
  <c r="G1024" i="5" s="1"/>
  <c r="G1025" i="5" s="1"/>
  <c r="G1026" i="5" s="1"/>
  <c r="G1027" i="5" s="1"/>
  <c r="G1028" i="5" s="1"/>
  <c r="G1029" i="5" s="1"/>
  <c r="G1030" i="5" s="1"/>
  <c r="G1031" i="5" s="1"/>
  <c r="G1032" i="5" s="1"/>
  <c r="G1033" i="5" s="1"/>
  <c r="G1034" i="5" s="1"/>
  <c r="G1035" i="5" s="1"/>
  <c r="G1036" i="5" s="1"/>
  <c r="G1037" i="5" s="1"/>
  <c r="G1038" i="5" s="1"/>
  <c r="G1039" i="5" s="1"/>
  <c r="G1040" i="5" s="1"/>
  <c r="G1041" i="5" s="1"/>
  <c r="G1042" i="5" s="1"/>
  <c r="G1043" i="5" s="1"/>
  <c r="G1044" i="5" s="1"/>
  <c r="G1045" i="5" s="1"/>
  <c r="G1046" i="5" s="1"/>
  <c r="G1047" i="5" s="1"/>
  <c r="G1048" i="5" s="1"/>
  <c r="G1049" i="5" s="1"/>
  <c r="G1050" i="5" s="1"/>
  <c r="G1051" i="5" s="1"/>
  <c r="G1052" i="5" s="1"/>
  <c r="G1053" i="5" s="1"/>
  <c r="G1054" i="5" s="1"/>
  <c r="G1055" i="5" s="1"/>
  <c r="G1056" i="5" s="1"/>
  <c r="G1057" i="5" s="1"/>
  <c r="G1058" i="5" s="1"/>
  <c r="G1059" i="5" s="1"/>
  <c r="G1060" i="5" s="1"/>
  <c r="G1061" i="5" s="1"/>
  <c r="G1062" i="5" s="1"/>
  <c r="G1063" i="5" s="1"/>
  <c r="G1064" i="5" s="1"/>
  <c r="G1065" i="5" s="1"/>
  <c r="G1066" i="5" s="1"/>
  <c r="G1067" i="5" s="1"/>
  <c r="G1068" i="5" s="1"/>
  <c r="G1069" i="5" s="1"/>
  <c r="G1070" i="5" s="1"/>
  <c r="G1071" i="5" s="1"/>
  <c r="G1072" i="5" s="1"/>
  <c r="G1073" i="5" s="1"/>
  <c r="G1074" i="5" s="1"/>
  <c r="G1075" i="5" s="1"/>
</calcChain>
</file>

<file path=xl/sharedStrings.xml><?xml version="1.0" encoding="utf-8"?>
<sst xmlns="http://schemas.openxmlformats.org/spreadsheetml/2006/main" count="2212" uniqueCount="656">
  <si>
    <t>TARİH</t>
  </si>
  <si>
    <t>AY</t>
  </si>
  <si>
    <t>AÇIKLAMA</t>
  </si>
  <si>
    <t>BAKİYE</t>
  </si>
  <si>
    <t>GİREN</t>
  </si>
  <si>
    <t>ÇIKAN</t>
  </si>
  <si>
    <t>YIL</t>
  </si>
  <si>
    <t>HESAP AÇILIŞI</t>
  </si>
  <si>
    <t>TEMMUZ</t>
  </si>
  <si>
    <t>PROJE MÜDÜRÜ</t>
  </si>
  <si>
    <t>KG FİYATI</t>
  </si>
  <si>
    <t>KG</t>
  </si>
  <si>
    <t>GENEL TUTAR</t>
  </si>
  <si>
    <t>HURDA</t>
  </si>
  <si>
    <t>DEVİR  EDİLEN</t>
  </si>
  <si>
    <t>HURDA SATIŞ BEDELİ</t>
  </si>
  <si>
    <t xml:space="preserve">HARİTACI AKŞAM YEMEĞİ VE YOL PARASI </t>
  </si>
  <si>
    <t>KAMP ALANI VE OFİSLER BÖLGESİ KAPI GÖBEĞİ ALIMI</t>
  </si>
  <si>
    <t>TOPLANTI YEMEĞİ</t>
  </si>
  <si>
    <t>PERSONEL ÖĞLE YEMEĞİ</t>
  </si>
  <si>
    <t>ÇAY OCAĞI MALZEME ALIMI</t>
  </si>
  <si>
    <t>KAMP ALANI FIRÇA VE ÇEKPAS ALIMI</t>
  </si>
  <si>
    <t>OFİS ÇAY ALIMI 2 ADET</t>
  </si>
  <si>
    <t>OZALİT ÇIKTI ALIMI</t>
  </si>
  <si>
    <t>İŞÇİ ELDİVEN ALIMI</t>
  </si>
  <si>
    <t>OFİS PC WİFİ ALIMI</t>
  </si>
  <si>
    <t>OFİS YEDEK ANAHTAR ALIMI</t>
  </si>
  <si>
    <t>OFİS KIRTASİYE MALZEME ALIMI</t>
  </si>
  <si>
    <t>PERSONEL AKŞAM YEMEĞİ</t>
  </si>
  <si>
    <t>MESAİ AKŞAM YEMEĞİ 3 KİŞİ</t>
  </si>
  <si>
    <t>PERSOENL AKŞAM YEMEĞİ</t>
  </si>
  <si>
    <t>KIRTAİSYE MALZEME ALIMI</t>
  </si>
  <si>
    <t>KIRTASİYE MALZEME ALIMI</t>
  </si>
  <si>
    <t>CİNSİ</t>
  </si>
  <si>
    <t>ARAÇ BENZİN ALIMI</t>
  </si>
  <si>
    <t>BANYO BATARYA ALIMI 2 ADET</t>
  </si>
  <si>
    <t>SİGORTA BANO ALIMI ( E FATURA ) BAŞAR OTOMASYON</t>
  </si>
  <si>
    <t>YASTIK YORGAN NEVRESİM AKIMI: 2 TAKIM</t>
  </si>
  <si>
    <t>SANTİYE KIRTASİYE ALIM</t>
  </si>
  <si>
    <t>SÜZGEÇ ÇAY :2</t>
  </si>
  <si>
    <t>MÜDÜR İKRAM ALIMI</t>
  </si>
  <si>
    <t>ÇİFT TARAFLI BANT</t>
  </si>
  <si>
    <t>OFİS MAHZEME ALIMI</t>
  </si>
  <si>
    <t>BULASIK DETARJANI</t>
  </si>
  <si>
    <t>ÇIKTI ALIMI</t>
  </si>
  <si>
    <t>KOLİ BANDI</t>
  </si>
  <si>
    <t>PİL ALIMI</t>
  </si>
  <si>
    <t>PERONEL ÖĞLE YEMEĞİ</t>
  </si>
  <si>
    <t>SAHA MALZEME ALIMI (SİLİKON 1 KOLİ VE TABANCA</t>
  </si>
  <si>
    <t>MİSAFİR ÖĞLE YEMEĞİ</t>
  </si>
  <si>
    <t>SAHA MALZEME ALIMI  3 ADET MALA</t>
  </si>
  <si>
    <t>PERSOENL İKRAM ALIMI</t>
  </si>
  <si>
    <t>SAHA MALZEME ALIMI ( DELİCİ MATKAP UÇLARI</t>
  </si>
  <si>
    <t>PERSOEN DIŞ GÖREV ÖĞLEN YEMEĞİ</t>
  </si>
  <si>
    <t>PERSONEL İLAÇ ALIMI</t>
  </si>
  <si>
    <t>ARAÇ TEMİZLİĞİ ( 34 KLT 489</t>
  </si>
  <si>
    <t>ŞANTİYE OZALİT ÇIKTI ALIMI</t>
  </si>
  <si>
    <t>ŞANTİYE MALZEME ALIMI</t>
  </si>
  <si>
    <t>PERSONEL TLF EKRAN TAMİRİ</t>
  </si>
  <si>
    <t>AĞUSTOS</t>
  </si>
  <si>
    <t xml:space="preserve">ŞANTİYE 3 TONLUK TANKER ALIMI </t>
  </si>
  <si>
    <t>PEROSNEL ÖĞLE YEMEĞİ</t>
  </si>
  <si>
    <t>PERSOEN İKRAM LAIMI</t>
  </si>
  <si>
    <t>ŞANTİYE VANA ALIIMI</t>
  </si>
  <si>
    <t>ŞANTİYE TESİSAT MALZEME ALIMI</t>
  </si>
  <si>
    <t>PERSONEL İKRAM ALIMI</t>
  </si>
  <si>
    <t>TANKER BAĞLANTI PARÇALARI ALIMI</t>
  </si>
  <si>
    <t>RAMAZAN KURT TARAFINDAN YAPILAN EFT</t>
  </si>
  <si>
    <t>TANKER YOL SULAMA BAĞLANTISI KAYNAK İŞLERİ</t>
  </si>
  <si>
    <t>KAMP LANI SEPETLİ VİNÇ KİRALAMA ( 2 SAAT)</t>
  </si>
  <si>
    <t>PERSONEL AKŞAM YEEĞİ</t>
  </si>
  <si>
    <t>OFİS MLZEME ALIMI</t>
  </si>
  <si>
    <t>OFİS MALZEME ALIMI</t>
  </si>
  <si>
    <t>OFİS ELEKTRİK MALZEME ALIMI</t>
  </si>
  <si>
    <t>PROJE ÇIKTI ALIMI</t>
  </si>
  <si>
    <t>PERSOEL İKRAM ALIMI</t>
  </si>
  <si>
    <t>ELEKTRİK MALZEME ALIMI</t>
  </si>
  <si>
    <t>PERSOENEL İKRAM ALIMI</t>
  </si>
  <si>
    <t>KAMP ALANI MALZEME ALII</t>
  </si>
  <si>
    <t>TRAKTÖR AKÜ ALIMI</t>
  </si>
  <si>
    <t>GECE MÜHENDİSİ YEMEK ALIMI</t>
  </si>
  <si>
    <t>ARAÇ EKSOZ TAMİRİ 34 SH 282</t>
  </si>
  <si>
    <t>TRAKTÖR MOTOR ELEKTRİK KABLOLARI VE TEPE LAMBASI YAPIMI</t>
  </si>
  <si>
    <t>TRAKTÖR SU MOTORU VE YOL SULAMA BAĞLANTILARI KAYNAK İŞLERİ</t>
  </si>
  <si>
    <t>KAMP ALANI MALZEME ALIMI</t>
  </si>
  <si>
    <t>İKAME ARAÇ YAKIT ALIMI</t>
  </si>
  <si>
    <t>34 HRJ 025 LASTİK ONARII</t>
  </si>
  <si>
    <t>TRAKTÖR BAĞLANTI PARÇA ALIMI</t>
  </si>
  <si>
    <t>TRAKTÖR ŞAFT ALIMI</t>
  </si>
  <si>
    <t>42 CMF 08 LASTİK ONARIMI</t>
  </si>
  <si>
    <t>34 KLT    LASTİK ONARII</t>
  </si>
  <si>
    <t>PERSONEL GIDA MLIMI</t>
  </si>
  <si>
    <t>TRAKTÖR MALZEME ALIMI</t>
  </si>
  <si>
    <t xml:space="preserve">KAMP ALANI  MALZEME </t>
  </si>
  <si>
    <t>PERSONEL MALZEME ALIMI</t>
  </si>
  <si>
    <t>PERSONEL AKŞAM MOTİVASYONU</t>
  </si>
  <si>
    <t>KAMP ALANI MALZEM ALIMI</t>
  </si>
  <si>
    <t>KATO EDBLU ALIMI</t>
  </si>
  <si>
    <t>BELEDİYE ÇIKTI ALIMI</t>
  </si>
  <si>
    <t>PERSONEL ÖĞLE YEMEĞİ BELEDİYE 2 KİŞİ</t>
  </si>
  <si>
    <t>BELEDİYE ÖĞLE YEMEĞİ 2 KİŞİ</t>
  </si>
  <si>
    <t>BELELEDİYE ÇIKTI ALIMI</t>
  </si>
  <si>
    <t>KAMP ALANI KİLİT MENTEŞE ALIMI</t>
  </si>
  <si>
    <t>PERONEL AKŞAM YEMEĞİ</t>
  </si>
  <si>
    <t>BELEDİYE ÖĞLE YEMEĞİ 1 KİŞİ</t>
  </si>
  <si>
    <t>PERSONEL AKŞAM AKTİVİTESİ</t>
  </si>
  <si>
    <t>TRAKTÖR YAĞ ALIMI</t>
  </si>
  <si>
    <t>JENERATÖR YAĞ ALIMI</t>
  </si>
  <si>
    <t>ramazan beye eft yapıldı</t>
  </si>
  <si>
    <t>EYLÜL</t>
  </si>
  <si>
    <t>TAHHÜTNAME+ODA KAYIT+BELGE +EK GİDERLER</t>
  </si>
  <si>
    <t>TESİSAT MALZEME ALIMI</t>
  </si>
  <si>
    <t>PEROSNEL İKRAM ALIMI</t>
  </si>
  <si>
    <t>KAMP ALANI İLAÇ ALIMI</t>
  </si>
  <si>
    <t>SAHA MALZEME ALIMI</t>
  </si>
  <si>
    <t>PERSOEN İKRAM ALIMI</t>
  </si>
  <si>
    <t>KAMP MALZEME ALIMI</t>
  </si>
  <si>
    <t>PERSOENL AKŞAM YEMEĞİ 5 KİŞİ</t>
  </si>
  <si>
    <t>PERSONEL YEMEK 1 KİŞİ</t>
  </si>
  <si>
    <t>PERSOENL ÖĞLE YEMEĞİ 3 KİŞİ</t>
  </si>
  <si>
    <t>PERSONEL AKŞAM YEMEĞİ 2 KİŞİ</t>
  </si>
  <si>
    <t>TRAKTÖR ŞAFT ONARIMI VE YAPILMASI</t>
  </si>
  <si>
    <t>ŞANTİYE ÇIKTI ALIMI</t>
  </si>
  <si>
    <t>PERSONEL AKŞAM YEMEĞİ 5 KİŞİ</t>
  </si>
  <si>
    <t>HAKEDİŞ OTOPARK ÜCRETİ</t>
  </si>
  <si>
    <t>HAKEDİŞ ÖĞLE YEMEĞİ 2 KİŞİ</t>
  </si>
  <si>
    <t>ŞANTİYE ÇİMENTO ALIMI</t>
  </si>
  <si>
    <t>KAZAN DAİRESİ MALZEME ALIMI</t>
  </si>
  <si>
    <t>KAMP TESİSAT MALZEME ALIMI</t>
  </si>
  <si>
    <t>KAMP ALANI TESİSAT MALZEME ALIMI KAZAN DAİRESİ</t>
  </si>
  <si>
    <t>OFİS ÇIKTI ALIMI</t>
  </si>
  <si>
    <t>PERSONEL DÜĞÜN ALTIN ALIMI</t>
  </si>
  <si>
    <t>PERSONEL MOTVASYON İKRAM ALIMI</t>
  </si>
  <si>
    <t>EMLAK KONUT TOPLANTI İKRAM ALIMI</t>
  </si>
  <si>
    <t>TRAKTÖR LASTİK ONARIMI</t>
  </si>
  <si>
    <t>ŞANTİYE SİGORTA ALMI</t>
  </si>
  <si>
    <t>TESİSAT MALZEME ALIMI T 2 ADET</t>
  </si>
  <si>
    <t>KABLO BAĞLANTI KLAMENSİ 6 ADET</t>
  </si>
  <si>
    <t>KAMP ALANI SGORTA ALIMI</t>
  </si>
  <si>
    <t>ELEKTRİK PANO ALIMI</t>
  </si>
  <si>
    <t>EMLAK KONUT İKRAM ALIMI</t>
  </si>
  <si>
    <t>PERSONEL AKŞAM YEMEPĞİ</t>
  </si>
  <si>
    <t>ELEKTRİK SGORTA ALIMI</t>
  </si>
  <si>
    <t xml:space="preserve">PERSONEK AKŞAM YEMEĞİ 2 KİŞİ </t>
  </si>
  <si>
    <t>KABLO EK PARÇA ALIMI</t>
  </si>
  <si>
    <t>34 AGV 049 ARAÇ MUAYNESİ</t>
  </si>
  <si>
    <t>GECE PERSONELİ ERZAK ALIMI</t>
  </si>
  <si>
    <t>EMLAK KONUT ÖĞLE YEMEĞİ</t>
  </si>
  <si>
    <t xml:space="preserve">ramazan beye eft </t>
  </si>
  <si>
    <t>PERSONEL PAZAR MESAİ YEMEĞİ</t>
  </si>
  <si>
    <t>PERSONEL TLF EKRAN DEĞİŞİMİ</t>
  </si>
  <si>
    <t>34 KLT489 LASTİK TAMİRİR</t>
  </si>
  <si>
    <t>PERSONEL AKŞAM YEMEĞİ VE İKRAM ALIMI</t>
  </si>
  <si>
    <t>PERSONEL DIŞ GÖREV YEMEĞİ</t>
  </si>
  <si>
    <t>EKİM</t>
  </si>
  <si>
    <t>AKŞAM PERSONEL YEMEĞİ 4 KİŞİ</t>
  </si>
  <si>
    <t>AKŞAM PERSONEL YEMEĞİ 1 KİŞİ</t>
  </si>
  <si>
    <t>PEROSENL ÖĞLE YEMEĞİ</t>
  </si>
  <si>
    <t>ATAŞEHİR PERSONEL ÖĞLE YEMEĞİ</t>
  </si>
  <si>
    <t>34 AGV 049 ARAÇ LASTİK DEĞİŞİMİ</t>
  </si>
  <si>
    <t>SİLİNDİR HORTUM ALIMI</t>
  </si>
  <si>
    <t>JCB HORTUM ALIMI VE TAMİRİ</t>
  </si>
  <si>
    <t>JCB + TRAKTÖR LATİK KİTİ(FİTİL TAKIMI)</t>
  </si>
  <si>
    <t>34 AGV049 LASTİK ALIMI +34 KLT489 LASTİK TAMİRİ</t>
  </si>
  <si>
    <t>34 KLT 512    LASTİK ONARII</t>
  </si>
  <si>
    <t>HAKEDİŞ PERSONEL ÖĞLE YEMEĞİ</t>
  </si>
  <si>
    <t>HAKEDİŞ USB ALIMI</t>
  </si>
  <si>
    <t>PERSONEL BELEDİYE ÖĞLE YEMEĞİ</t>
  </si>
  <si>
    <t>MOTİVASYON YEMEĞİ MALZEME ALIMI</t>
  </si>
  <si>
    <t>GECE PERSONELİ YEMEK ALIMI</t>
  </si>
  <si>
    <t>KASIM</t>
  </si>
  <si>
    <t>PERSONEL AKŞAM YMEĞİ</t>
  </si>
  <si>
    <t>EPP TOPLANTI TATLI ALIMI</t>
  </si>
  <si>
    <t>OFİS OZALİT ÇIKTI ALIMI</t>
  </si>
  <si>
    <t>PERSONEL AKŞAM YEMEĞİ 3 KİŞİ</t>
  </si>
  <si>
    <t>PERSONEL GECE YEMEĞİ</t>
  </si>
  <si>
    <t>PERSONEL TATLI ALIMI</t>
  </si>
  <si>
    <t xml:space="preserve">TESİSAT MALZEME ALIMI T </t>
  </si>
  <si>
    <t>PERSONEL MOTİVASYON ETKİNLİĞİ</t>
  </si>
  <si>
    <t>EPP PERSONEL ÖĞLE YEMEĞİ</t>
  </si>
  <si>
    <t>EPP TOPLANTI İKRAM ALIMI</t>
  </si>
  <si>
    <t>PERSONEL AKŞAM BETONU YEMEĞİ 2 KİŞİ</t>
  </si>
  <si>
    <t>34 FAP720 ARAÇ MUAYNESİ</t>
  </si>
  <si>
    <t>PERSONEL DÜĞÜN Y. ALTIN ALIMI (CAN AYDIN)</t>
  </si>
  <si>
    <t>EMLAK KONUT ÖĞLE YEMEĞİ (ELEKTRİK)</t>
  </si>
  <si>
    <t>ELEKTRİK PERSONELİ ÖĞLE YEMEĞİ</t>
  </si>
  <si>
    <t>ÇAĞLAYAN OTOPARK ÜCRETİ</t>
  </si>
  <si>
    <t>PEERSONEL AKŞAM YEMEĞİ</t>
  </si>
  <si>
    <t>İKAME ARAÇ TEMİZLİK</t>
  </si>
  <si>
    <t>ARALIK</t>
  </si>
  <si>
    <t>PERSONEL MOTİVASYON ETKİNLİĞİ(HALI SAHA)</t>
  </si>
  <si>
    <t>42 CMF 08 İKAME ARAÇ YAKIT ALIMI</t>
  </si>
  <si>
    <t>OZALİT ÇIKTI ALIMI ALIMI</t>
  </si>
  <si>
    <t>EPP İKRAM ALIMI</t>
  </si>
  <si>
    <t>TRAKTÖR TANKER LASTİK VE ŞAMBREL DEĞİŞİMİ MONTAJI</t>
  </si>
  <si>
    <t>EMLAK KONUT ÖĞLE YEEĞİ</t>
  </si>
  <si>
    <t>MİSAFİR İKRAM ALIMI</t>
  </si>
  <si>
    <t>EPP YAPI DENETİM ÖĞLE YEMEĞİ</t>
  </si>
  <si>
    <t>ARAÇ LASTİK TAMİRİ 42 CMF 08</t>
  </si>
  <si>
    <t>ARAÇ TEMİZLİĞİ 34 HRJ225</t>
  </si>
  <si>
    <t>İKAME RAÇ YAKIT ALIMI</t>
  </si>
  <si>
    <t>34 HRJ 2225 BALANS AYARI</t>
  </si>
  <si>
    <t>PERSONEL ÖĞLE YEMEĞİ HAMZA</t>
  </si>
  <si>
    <t>PERSONEL GECE İKRAM ALIMI</t>
  </si>
  <si>
    <t>PERSONEL SAHA İKRAM ALIMII</t>
  </si>
  <si>
    <t>ŞANTİYE ARAÇ YAKIT ALIMI</t>
  </si>
  <si>
    <t>TOPLANTI YEMEĞİ FATİH BEY</t>
  </si>
  <si>
    <t>TOPLANTI OTOPARK ÜCRETİ  FATİH BEY</t>
  </si>
  <si>
    <t>34 HRJ 225 ARAÇ LASTİK ONARIMI</t>
  </si>
  <si>
    <t>ŞANTİYE İLAÇ POMPASI ALIMI( E FATURA)</t>
  </si>
  <si>
    <t>BİLGİSAYAR KABLO ALIMI</t>
  </si>
  <si>
    <t>OTOPARK ÜCRETİ ( ELEKTRİKÇİ)</t>
  </si>
  <si>
    <t>PERSONEL AKŞAM MESAİ YEMEĞİ ALIMI</t>
  </si>
  <si>
    <t>EPP TOPLANTI İKRAM ALIMII</t>
  </si>
  <si>
    <t>ÇATALCA PERSONEL İKRAM ALIMI</t>
  </si>
  <si>
    <t>ÇATALCA PERSONEL ÖĞLE YEMEĞİ</t>
  </si>
  <si>
    <t>ÇATALCA NALBUR MALZEME ALIMI</t>
  </si>
  <si>
    <t>ÇATALCA PERSONEL KAHVALTI ALIMI</t>
  </si>
  <si>
    <t>42 CMF 08 LASTİK ALIMI VE 34 AGV 048 LATİK ONARIMI</t>
  </si>
  <si>
    <t>PERSONEL AKŞAM YEMEĞİ ALIMI</t>
  </si>
  <si>
    <t>TRAKTÖR ELEKTRİK ARIZA ONARIMI</t>
  </si>
  <si>
    <t>JCB ÖN LASTİK TAMİRİ</t>
  </si>
  <si>
    <t>KAMP ALANI BORU EK PARÇA ALIMI</t>
  </si>
  <si>
    <t>OCAK</t>
  </si>
  <si>
    <t>İKAME ARAÇ YAKIT ALIMI(FATİH BEY)</t>
  </si>
  <si>
    <t>BORU EK PARÇA ALIMI</t>
  </si>
  <si>
    <t>ELEKTRİK PARÇA ALIMI</t>
  </si>
  <si>
    <t>PERSONEL ÖĞLE  YEMEĞİ</t>
  </si>
  <si>
    <t>OFİS GIDA ALIMI</t>
  </si>
  <si>
    <t xml:space="preserve">34 HRJ225 DETAYLI  YIKAMA </t>
  </si>
  <si>
    <t>34 AGV049 2 ADET LASTİK ONARIMI</t>
  </si>
  <si>
    <t>DİZAYN OFİS ÖĞLE YEMEĞİ</t>
  </si>
  <si>
    <t>PERSONEL İLAÇ. ALIMI</t>
  </si>
  <si>
    <t>PERSONEL AKŞAM  YEMEĞİ</t>
  </si>
  <si>
    <t>34 AGV 049 LASTİK ALIMI VE DEĞİŞİMİ</t>
  </si>
  <si>
    <t>TEKNİK PEROSNEL ÖĞLE  YEMEĞİ</t>
  </si>
  <si>
    <t>ARITMA SİSTEMİ TABLET ALIMI</t>
  </si>
  <si>
    <t>AMLAK KONUT MÜDÜR ÇİKOLATA ALIMI</t>
  </si>
  <si>
    <t>P</t>
  </si>
  <si>
    <t>34 FAP 720 ARAÇ TEMİZLİĞİ</t>
  </si>
  <si>
    <t>JCB ÇATAL  MİL TAMİR VE KAYNAK İŞLERİ</t>
  </si>
  <si>
    <t>34 KLT489 İÇİN İKAME ARAÇ HGS VE TEMİZLİK ÜCRETİ</t>
  </si>
  <si>
    <t>34 KLT 512 ARAÇ TEMİZLİĞİ</t>
  </si>
  <si>
    <t>ÖRNEK DAİRE MALZEME ALIMI</t>
  </si>
  <si>
    <t>PERSONEK AKŞAM YEMEĞİ HAMZA</t>
  </si>
  <si>
    <t>PERSONEL AKŞAM YEMEĞİ HAMZA</t>
  </si>
  <si>
    <t>HAKEDİŞ MALZEME ALIMI HAMZA</t>
  </si>
  <si>
    <t>HAKEDİŞ ÖĞLE YEMEĞİ   HAMZA</t>
  </si>
  <si>
    <t>PERSONELAKŞAM YEMEĞİ</t>
  </si>
  <si>
    <t>GPS CİHAZI HAT ALIMI</t>
  </si>
  <si>
    <t>ŞUBAT</t>
  </si>
  <si>
    <t>ARAÇ YAKIT ALIMI 34 DDZ 679</t>
  </si>
  <si>
    <t>PERSONEL ÖĞLE YEMEĞİ (TURGAY BEY BİLGİSİ DAHİLİNDE)</t>
  </si>
  <si>
    <t>OFİS KAŞE MÜREKKEBİ ALIMI</t>
  </si>
  <si>
    <t xml:space="preserve">JCB LASTİK ONARIMI 7 ADET YAMA </t>
  </si>
  <si>
    <t>SAHA PERSONELİ İKRAM ALIMI</t>
  </si>
  <si>
    <t>İKAME ARAÇ ADBLU ALIMI(34AGV049)</t>
  </si>
  <si>
    <t>34KLT489 ARAÇ TEMİZLİĞİ</t>
  </si>
  <si>
    <t>42CMF08 ARAÇ ÖN TAMPONU</t>
  </si>
  <si>
    <t>34 HRJ 225 ARAÇ TEMİZLİĞİ</t>
  </si>
  <si>
    <t>ŞANTİYE İLAÇ ALIMI</t>
  </si>
  <si>
    <t>ŞANTİYE TRAKTÖR ŞAFT ALIMI</t>
  </si>
  <si>
    <t>ŞANTİYE JCB LASTİK ONARIMI</t>
  </si>
  <si>
    <t>MART</t>
  </si>
  <si>
    <t>HAKEDİŞ PERSONEL AKŞAM YEMEĞİ (HAMZA)</t>
  </si>
  <si>
    <t>HAKEDİŞ PERSONEL YOL YAKITI (HAMZA)</t>
  </si>
  <si>
    <t>KÖR KALIP BETON KATKI MADDESİ ALIMI</t>
  </si>
  <si>
    <t>NOTER ÖDEMESİ H.AYHAN DEMİRKIRAN TAHHÜTNAME</t>
  </si>
  <si>
    <t>DRON KANAT ALIMI</t>
  </si>
  <si>
    <t>GPRSCİHAZI MOBİL FATURA ÖDEMESİ</t>
  </si>
  <si>
    <t>PERSONEL ÖĞLE YEMEĞİ 2 KİŞİ</t>
  </si>
  <si>
    <t>SU DEPOSU MALZEME ALIMI</t>
  </si>
  <si>
    <t>JCB ÖN VE ARAKA TEKER LASTİK ONARIMI</t>
  </si>
  <si>
    <t>GECE PERSONELİ ERZAK ALIMI (ŞUBAT)</t>
  </si>
  <si>
    <t>TAHHÜTNAME NODER ÖDEMESİ FATİH ÖZBAKIR</t>
  </si>
  <si>
    <t>4 ADET LASTİK ONARIMI</t>
  </si>
  <si>
    <t>2 ADET ARAÇ YIKAMA BEDELİ</t>
  </si>
  <si>
    <t>34 EBV 016 SİLECEK ALIMI</t>
  </si>
  <si>
    <t>34 EBV 016  ARAÇ ADBLU ALIMI</t>
  </si>
  <si>
    <t>PERSOENL İLAÇ ALIMI</t>
  </si>
  <si>
    <t>NİSAN</t>
  </si>
  <si>
    <t>FORE KAZIK PASPAYI ALIMI 2 ÇUVAL</t>
  </si>
  <si>
    <t>HARİTA GPRS CİHAZI MOBİL HAT ÖDEMESİ</t>
  </si>
  <si>
    <t>JCB LASTİK ÖLÇME ALETİ ALIMI</t>
  </si>
  <si>
    <t>PERSONEL ÖĞLE YEMEĞİ MEHMET KURNAZ</t>
  </si>
  <si>
    <t>EMLAK KONUT TOPLANTI ÖĞLE YEMEĞİ 4 KİŞİ</t>
  </si>
  <si>
    <t>İKAME ARAÇ YAKIT ALIMI 34 DDZ 679</t>
  </si>
  <si>
    <t>EMLAK KONUT TATLI ALIMI</t>
  </si>
  <si>
    <t>EPP ÖĞLE YEMEĞİ</t>
  </si>
  <si>
    <t>EMLAK KONUT  ÖĞLE YEMEĞİ</t>
  </si>
  <si>
    <t>OFİS ÇAY KAZANI TAMİRİ</t>
  </si>
  <si>
    <t>34 KLT 489 LASTİK TAMİRİ</t>
  </si>
  <si>
    <t>34 FAB  VE 42 CMF 08 ARAÇ PASPAS ALIMI</t>
  </si>
  <si>
    <t>ŞANTİYE O-G HATTI SİGORTA DEĞİŞİMİ</t>
  </si>
  <si>
    <t>PERSONEL ÖĞLE YEMEĞİ M.KURNAZ</t>
  </si>
  <si>
    <t>JCB FİTİL VE FİTİL TAKIMI ALIMI</t>
  </si>
  <si>
    <t>MAYIS</t>
  </si>
  <si>
    <t xml:space="preserve">JCB LASTİK ONARIMI 2 ADET YAMA </t>
  </si>
  <si>
    <t>3 ADET ARAÇ İÇ DIŞ YIKAMA</t>
  </si>
  <si>
    <t>KAMP LANI KONTEYNER CAM ALIMI 2ADET</t>
  </si>
  <si>
    <t>OFİS TOPLANTI İKRAM ALIMI</t>
  </si>
  <si>
    <t>REVİR İLAÇ ALIMI</t>
  </si>
  <si>
    <t>PERDONEL AKŞAM YEMEĞİ</t>
  </si>
  <si>
    <t>ÇATALCA PERSONEL YEMEK ALIMI</t>
  </si>
  <si>
    <t>ÇATALCA ARIZA MALZEME ALIMI</t>
  </si>
  <si>
    <t>BETON  KATKI MADDESİ ALIMI</t>
  </si>
  <si>
    <t>TRAKTÖR MOTOR YAĞI ALIMI</t>
  </si>
  <si>
    <t>OFİS SİGORTA ALIMI</t>
  </si>
  <si>
    <t>EPP MALZEME ALIMI</t>
  </si>
  <si>
    <t>34 KLT  512 LASTİK TAMİRİ</t>
  </si>
  <si>
    <t>ŞANTİYE PANO SİGORTA ALIMI</t>
  </si>
  <si>
    <t>İSTANBUL-ADANA UÇAK BİLETİ ALIMI SİNAN GÖK</t>
  </si>
  <si>
    <t>JCB LASTİK ONARIMI 4 YAMA</t>
  </si>
  <si>
    <t>34 KLT 489 ARAÇ YIKAMASI</t>
  </si>
  <si>
    <t>EMLAK KONUT PERSONEL TLF ONARIMI</t>
  </si>
  <si>
    <t>yanan jeneratör</t>
  </si>
  <si>
    <t>HAZİRAN</t>
  </si>
  <si>
    <t>PANO SİGORTA ALIMI</t>
  </si>
  <si>
    <t>PERSONEL MOTİVASYON ETKİNLİĞİ(HALI SAHA) 2 SEFER</t>
  </si>
  <si>
    <t>KIRIM MAKİNALARI FİŞ ALIMI</t>
  </si>
  <si>
    <t>İKAME ARAÇ YAKIT ALIMI 34 AGV 049</t>
  </si>
  <si>
    <t>KATO HORTUM ALIMI</t>
  </si>
  <si>
    <t>OFİS KÜLLÜK ALIMI</t>
  </si>
  <si>
    <t>JCB HORTUM KATO CİVATA ALIMI</t>
  </si>
  <si>
    <t>PERSONEL TAHHÜTNAME VE ODA ÖDEMESİ BÜŞRA ÖZBİLEK</t>
  </si>
  <si>
    <t>PERSONEL MOTİVASYON ETKİNLİĞİ(HALI SAHA)20.06.2025</t>
  </si>
  <si>
    <t>34 AGV049 İSPARK</t>
  </si>
  <si>
    <t xml:space="preserve">OFİS MALZEME ALIMI </t>
  </si>
  <si>
    <t>ÇAY OCAĞI KYAFET ALIMI</t>
  </si>
  <si>
    <t>34 AGV049 OTO YIKAMA</t>
  </si>
  <si>
    <t>HAKEDİŞ YAKIT ALIMI</t>
  </si>
  <si>
    <t>EPP KIRTASİYE MALZEME ALIMI</t>
  </si>
  <si>
    <t>OFİS İLAÇ ALIMI</t>
  </si>
  <si>
    <t>JCB ÇATAL DÜZELTME VE KAYNAK İŞLERİ</t>
  </si>
  <si>
    <t>PERSONEL MOTİVASYON ETKİNLİĞİ(HALI SAHA)27.06.2025</t>
  </si>
  <si>
    <t>128GB FLAŞ ALIMI TURGAY BEY</t>
  </si>
  <si>
    <t xml:space="preserve">RAMAZAN KURT a İADE KASA SIFIRLAMASI </t>
  </si>
  <si>
    <t>34 COS 040 OTO YIKAMA</t>
  </si>
  <si>
    <t>ISG ECZANE İLAÇ ALIMI</t>
  </si>
  <si>
    <t>PERSONEL MOTİVASYON ETKİNLİĞİ(HALI SAHA)04.07.2025</t>
  </si>
  <si>
    <t>34 AGV 049 LASTİK YAPTIRMA</t>
  </si>
  <si>
    <t>TRAKTÖR MALZEMESİ</t>
  </si>
  <si>
    <t>KEPÇE GLASÖR</t>
  </si>
  <si>
    <t>HAMZA KIRTASİYE ÇIKTI ALIMI</t>
  </si>
  <si>
    <t>OFİS MALZEMESİ ALIMI</t>
  </si>
  <si>
    <t>İSG MALZEME ALIMI</t>
  </si>
  <si>
    <t>PERSONEL MTİVASYON ETKİNLİĞİ (HALI SAHA)</t>
  </si>
  <si>
    <t>34 HRJ 225 LASTİK TAMİRİ</t>
  </si>
  <si>
    <t xml:space="preserve">PERSONEL ÖĞLE YEMEK </t>
  </si>
  <si>
    <t>HAMZA OFİS KIRTASİYE</t>
  </si>
  <si>
    <t>OFİS ÇAMASIR SUYU ALIMI</t>
  </si>
  <si>
    <t>HAMZA OFİS MALZEMESİ ALIMI</t>
  </si>
  <si>
    <t>PERSONEL MOTİVASYON ETKİNLİĞİ (HALI SAHA)</t>
  </si>
  <si>
    <t>SABAH KAHVALTISI ŞANTİYE</t>
  </si>
  <si>
    <t>34 KLT 512 LASTİK TAMİRİ</t>
  </si>
  <si>
    <t>,</t>
  </si>
  <si>
    <t>12,50 TL</t>
  </si>
  <si>
    <t>50,375,00 TL</t>
  </si>
  <si>
    <t>11,750,00 TL</t>
  </si>
  <si>
    <t>2 ADET LASTİK TAMİRİ JCB</t>
  </si>
  <si>
    <t>OTO YIKAMA 34 COS 040</t>
  </si>
  <si>
    <t>OTO YIKAMA 34 KLT 489</t>
  </si>
  <si>
    <t>OTO YIKAMA 34 KLT 512</t>
  </si>
  <si>
    <t>OTO YIKAMA 34 AGV 040</t>
  </si>
  <si>
    <t>EPP YEMEK</t>
  </si>
  <si>
    <t xml:space="preserve">EPP YEMEK </t>
  </si>
  <si>
    <t>34 FAP 720 OTO YIKAMA</t>
  </si>
  <si>
    <t>ŞANTİYE TAKSİ</t>
  </si>
  <si>
    <t>ÖĞLE YEMEK PERSONEL</t>
  </si>
  <si>
    <t>34 AGV 049 MAZOT ALIMI</t>
  </si>
  <si>
    <t>OFİS KAŞE YAPIMI</t>
  </si>
  <si>
    <t>NALBUR KİLİT</t>
  </si>
  <si>
    <t xml:space="preserve"> YEMEK PERSONEL</t>
  </si>
  <si>
    <t xml:space="preserve">OTO BALANS 34 HRJ 225 </t>
  </si>
  <si>
    <t>42 CMF 08 OTO YIKAMA</t>
  </si>
  <si>
    <t>34 HRJ 225 MACOT ALIMI</t>
  </si>
  <si>
    <t xml:space="preserve">34 RD 3026 MAZOT ALIMI </t>
  </si>
  <si>
    <t>KAMP ALANI MALZEMEALIMI</t>
  </si>
  <si>
    <t>AKSAM YEMEK BİRHAN</t>
  </si>
  <si>
    <t xml:space="preserve">ÖĞLE YEMEK BİRHAN </t>
  </si>
  <si>
    <t>MEHMET SANTİYE SEFİ ODA KAYIT BELGESİ ÜCRETİ</t>
  </si>
  <si>
    <t>TRAKTÖR HORTUMU</t>
  </si>
  <si>
    <t>MEHMET SANTİYE SEFİ ODA TAAHÜTNAME ÜCRETİ</t>
  </si>
  <si>
    <t xml:space="preserve">MEHMET SANTİYE SEFİ ODA AİDATİ </t>
  </si>
  <si>
    <t>3,8MT SAĞ VE SOL  HORTUM VE BAŞLIK DEĞİŞİMİ</t>
  </si>
  <si>
    <t>ÖĞLE YEMEK PERSONEL CELAL</t>
  </si>
  <si>
    <t>OFİS ÇAY OCAĞI TÜRK KAHVESİ</t>
  </si>
  <si>
    <t>OFİS KIRTASİYE</t>
  </si>
  <si>
    <t>KİBRİTÇİ TOPLANTI İKRAM</t>
  </si>
  <si>
    <t>ÖĞLE YEMEK PERSONEL CELAL OSMAN</t>
  </si>
  <si>
    <t>GECE MESAİ YEMEK ÜCRETİ</t>
  </si>
  <si>
    <t>PERSONEL AKSAM YEMEĞİ CELAL YİĞİT KİBAR</t>
  </si>
  <si>
    <t>HASAN BASRİ MAZOT PARASI</t>
  </si>
  <si>
    <t xml:space="preserve">İKAME ARAÇ YAKIT ALIMI BİRHAN </t>
  </si>
  <si>
    <t>KEPÇE LASTİK TAMİRİ</t>
  </si>
  <si>
    <t>ERTUĞRUL MEHMET KURNAZ TAKSİ ÜCRETİ</t>
  </si>
  <si>
    <t>2 Cİ ÖRNEK DAİRE İÇİN ZEMİN TEMİZLEME MALZEMESİ</t>
  </si>
  <si>
    <t>2 Cİ ÖRNEK DAİRE İÇİN AHŞAP TEMİZLEME MALZEMESİ</t>
  </si>
  <si>
    <t>ERTUĞRUL MİMARLAR ODASI KAYIT ÜCRETİ</t>
  </si>
  <si>
    <t>2 Cİ ÖRNEK DAİRE İÇİN T ÇITA ALIMI</t>
  </si>
  <si>
    <t>2 Cİ ÖRNEK DAİRE İÇİN PARKE ALIMI</t>
  </si>
  <si>
    <t>PERSONEL YEMEK CELAL</t>
  </si>
  <si>
    <t>KAŞE YAPTIRMA</t>
  </si>
  <si>
    <t>LASTİK TAMİRİ 34 KLT 512</t>
  </si>
  <si>
    <t>34 AGV 049 YIKAMA</t>
  </si>
  <si>
    <t>34 DAB 165 OTO YIKAMA</t>
  </si>
  <si>
    <t>34 DAB 165 YAKIT ALIMI</t>
  </si>
  <si>
    <t>42 CMF 08 LASTİK TAMİRİ</t>
  </si>
  <si>
    <t>KIRTASİYE HAMZA</t>
  </si>
  <si>
    <t>EPP TATLI ALIMI HAMZA BEY</t>
  </si>
  <si>
    <t>ISG MALZEME ALIMI</t>
  </si>
  <si>
    <t>ÖĞLE YAMEK CELAL</t>
  </si>
  <si>
    <t>KAŞE YAPIMI</t>
  </si>
  <si>
    <t>İKAME ARAÇ YAKIT ALIMI HASAN BEY</t>
  </si>
  <si>
    <t xml:space="preserve">OFİS MALZEME ALIMI CELAL BEY </t>
  </si>
  <si>
    <t>JANDARMA LOKUM ALIMI K</t>
  </si>
  <si>
    <t>MOTİVASYON MALZEME ALMI K</t>
  </si>
  <si>
    <t>MANGAL TELİ K</t>
  </si>
  <si>
    <t>MOTİVASYON MALZEME ALMI  F</t>
  </si>
  <si>
    <t>MOTİVASYON MALZEME ALMI F</t>
  </si>
  <si>
    <t>LASTİK TAMİRİ 42 CMF 08 C</t>
  </si>
  <si>
    <t>KAŞE YAPIMI C</t>
  </si>
  <si>
    <t>ETİKET ALIMI C</t>
  </si>
  <si>
    <t>MEHMET KURNAZ ERTURUL TAKSİ ÜCRETİ</t>
  </si>
  <si>
    <t>34 AGV LASTİK DEĞİSİMİ VE JANT ONARIMI</t>
  </si>
  <si>
    <t>PERSONEL ÖĞLE YEMEK KİBAR</t>
  </si>
  <si>
    <t>MOTİVAASYON ET ALIMI 6 KG KÖFTE 1 KG SUCUK 500GR KANAT</t>
  </si>
  <si>
    <t xml:space="preserve">PERSONEL YEMEK BEDELİ MEHMET </t>
  </si>
  <si>
    <t>ÇEKMEKÖY MESAİDE HARCANAN FATİH BEY</t>
  </si>
  <si>
    <t>BARDAK ALIMI ÇAY OCAĞI</t>
  </si>
  <si>
    <t>YEMEK ORÇUN BEY</t>
  </si>
  <si>
    <t>YEMEK MEHMET BEY</t>
  </si>
  <si>
    <t>NOTER ÜCRETİ</t>
  </si>
  <si>
    <t xml:space="preserve">HAMZA MAZOT </t>
  </si>
  <si>
    <t>JCB MALZEME ALIMI</t>
  </si>
  <si>
    <t>34 HRJ 225 LASTİK TAMİRİ B</t>
  </si>
  <si>
    <t>ANKARADAN PROJE GELDİ KARGO ÜCRETİ</t>
  </si>
  <si>
    <t>34 FAB 720 YIKAMA</t>
  </si>
  <si>
    <t>KIRTASİYE ZARF ALIM</t>
  </si>
  <si>
    <t>34 KLT 512 YIKAMA</t>
  </si>
  <si>
    <t>PERSONEL ÖĞLE YEMEĞİ CELAL MEHMET KURNAZ KİBAR</t>
  </si>
  <si>
    <t>EPP YEMEK F</t>
  </si>
  <si>
    <t xml:space="preserve">PERSONEL ÖĞLE YEMEĞİ CELAL </t>
  </si>
  <si>
    <t xml:space="preserve">BOSH ARABA YIKAMA HORTUMU </t>
  </si>
  <si>
    <t>SUTEK NAMINA YOLGA BEYE ELDEN NAKİT VERME</t>
  </si>
  <si>
    <t>FALÇATA ALIMI</t>
  </si>
  <si>
    <t>PARK ÜCRETİ</t>
  </si>
  <si>
    <t>TMMOB MİMARLAR ODASI ÜCRETİ PINAR HANIM</t>
  </si>
  <si>
    <t>TMMOB MİMARLAR ODASI ÜCRETİ EMRE YUNUS BEY</t>
  </si>
  <si>
    <t>KAVACIK YEMEK ÜCRETİ MEHMET KURNAZ BEY</t>
  </si>
  <si>
    <t>İSPARK OTOPARK</t>
  </si>
  <si>
    <t>LASTIK TAMİRİ 34 COS 040</t>
  </si>
  <si>
    <t>ELEKTİRİK 185 LİK ALİMİNYUM BORU TİPİ MIF</t>
  </si>
  <si>
    <t>EPP KURABİYE TALI ALIMI</t>
  </si>
  <si>
    <t>BİRHAN BEY ÖĞLE YEMEĞİ</t>
  </si>
  <si>
    <t>OFİS MALZEMESİ ALIMI HAMZA BEY</t>
  </si>
  <si>
    <t>KIRTASİYE MALZEME ALIMI KAVACIK C</t>
  </si>
  <si>
    <t>İNSAAT MUHENDİSLİK ODASI HAMZA BEY</t>
  </si>
  <si>
    <t>157/51 PARSEL RUHSAT İÇİN HAMZA BEY</t>
  </si>
  <si>
    <t>ELEKTİRİK 185 LİK ALİMİNYUM BORU TİPİ EK MUF</t>
  </si>
  <si>
    <t>ED BLUE ALIMI CELAL BEY</t>
  </si>
  <si>
    <t>JCB HORTUM  YAPILDI</t>
  </si>
  <si>
    <t>34 KLT 489 YIKAMA</t>
  </si>
  <si>
    <t>34 KLT 512 OTO YIKAMA</t>
  </si>
  <si>
    <t xml:space="preserve">KIRTASİYE AYRAÇ ALIMI </t>
  </si>
  <si>
    <t>10 ADET ANAHTARLIK KUTUSU C</t>
  </si>
  <si>
    <t xml:space="preserve">ÇIKTI ALIMI </t>
  </si>
  <si>
    <t>SONER KURT TARAFINDAN YAPILAN EFT</t>
  </si>
  <si>
    <t>KARE DEFTER ALIMI C</t>
  </si>
  <si>
    <t>OFİS BÖLGESİ SİNEK KOVUCU ALETİ C</t>
  </si>
  <si>
    <t>OFİS KIRTASİYE DEFTER ALIMI K</t>
  </si>
  <si>
    <t>ISG İLAÇ ALIMI M</t>
  </si>
  <si>
    <t xml:space="preserve">ADNAN ZEKİ BEY SANTİYE SEFİ SÖZLEŞME </t>
  </si>
  <si>
    <t>ADNAN ZEKİ BEY ODA KAYIT BELGESİ ÜCRETİ</t>
  </si>
  <si>
    <t>ADNAN ZEKİ BEY ODA KAYIT AİDAT ÜCRETİ</t>
  </si>
  <si>
    <t>personel yemek celal</t>
  </si>
  <si>
    <t>dosya ayraçı ofis için c</t>
  </si>
  <si>
    <t xml:space="preserve">ELEKTRİKÇİ AHMET USTA İLAÇ </t>
  </si>
  <si>
    <t>PROJELERİN KARGO ÜCRETİ</t>
  </si>
  <si>
    <t xml:space="preserve">34 KLT 489 2 ADET LASTİK DEĞİŞİMİ VE SİBOP TAKMA VE İÇ DİŞ YIKAMA </t>
  </si>
  <si>
    <t xml:space="preserve">PERSONEL YEMEK ÜCRETİ </t>
  </si>
  <si>
    <t>EPP PAZAR ÖĞLE YEMEĞİ 4 KİŞİ FAHİH BEY</t>
  </si>
  <si>
    <t>JCB LASTİK TAMİRİ</t>
  </si>
  <si>
    <t>34 KLT 489 LASTIK TAMİRİ</t>
  </si>
  <si>
    <t>PERSONEL YEMEK KİBAR</t>
  </si>
  <si>
    <t>PERSONEL YEMEK</t>
  </si>
  <si>
    <t xml:space="preserve">OFİS ÖĞLE YEMEK </t>
  </si>
  <si>
    <t>KARGO ÜCRETİ (EMLAK KONUT)</t>
  </si>
  <si>
    <t>KAŞE YAPIMI 2</t>
  </si>
  <si>
    <t>KAŞE YAPIMI 3</t>
  </si>
  <si>
    <t>SİNEK İLACI SPREY</t>
  </si>
  <si>
    <t>SİNEK İLACI HAP MAKİNA</t>
  </si>
  <si>
    <t>DAİRE ANAHTARLARI SAKLAMA KUTUSU</t>
  </si>
  <si>
    <t>YEMEK HAMZA</t>
  </si>
  <si>
    <t>YEMEK CELAL</t>
  </si>
  <si>
    <t>HARİTA GPRS FATURASI ÖDEMESİ</t>
  </si>
  <si>
    <t>CELAL YEMEK</t>
  </si>
  <si>
    <t>ÖĞLE YEMEK FATİH BEY FURKAN MEHMET KURNAZ</t>
  </si>
  <si>
    <t>PERSONEL YEMEK YAHYA KİBAR</t>
  </si>
  <si>
    <t>TOPLANTİ İKRAM BÜSKÜVİ</t>
  </si>
  <si>
    <t>AKŞAM YEMEĞİ FATİH BEY AHMET BASMACI</t>
  </si>
  <si>
    <t>OFİS MALZEMESİ FATİH BEY</t>
  </si>
  <si>
    <t>ADNAN BEY (ŞANTİYE ŞEFİ) ÖĞLE YEMEK</t>
  </si>
  <si>
    <t>USB ÇOĞALTICI</t>
  </si>
  <si>
    <t>2 ADET PARMAK RULO</t>
  </si>
  <si>
    <t>34 CMF 08 LASTİK TAMİRİ</t>
  </si>
  <si>
    <t>34 CMF 08 YIKAMA</t>
  </si>
  <si>
    <t>ÖĞLE YEMEK ADNAN BEY</t>
  </si>
  <si>
    <t>BOSH YIKAMA TAMİRİ</t>
  </si>
  <si>
    <t>ÖĞLE YEMEK HAMZA BEY</t>
  </si>
  <si>
    <t xml:space="preserve">PERSONEL YEMEK </t>
  </si>
  <si>
    <t>PERSONEL YEMEK CELAL+KİBAR</t>
  </si>
  <si>
    <t>OFİS MALZEME ALIMI (DEFTER-KALEM)</t>
  </si>
  <si>
    <t>HAKEDİŞ ÜST YAZISI İÇİN ÇIKTI ALIMI</t>
  </si>
  <si>
    <t>ADNAN BEY 'İN ARABASININ  JANT TAMİRİ</t>
  </si>
  <si>
    <t>TMMOB MİMARLAR OADASI PINAR DEMİRAĞ</t>
  </si>
  <si>
    <t>TMMOB ODA SİCİL KAYIT BEYGESİ ALPEREN CİHAN</t>
  </si>
  <si>
    <t>TMMOB ODA AİDAT KAYIT BEYGESİ ALPEREN CİHAN</t>
  </si>
  <si>
    <t>TMMOB ÜYELİK BELGESİ AYHAN DEMİRKIRAN</t>
  </si>
  <si>
    <t>TMMOB AİDAT BELGESİ AYHAN DEMİRKIRAN</t>
  </si>
  <si>
    <t>TMMOB ÜYELİK BELGESİ FATİH ÖZBAKIR</t>
  </si>
  <si>
    <t>TMMOB AİDAT BELGESİ FATİH ÖZBAKIR</t>
  </si>
  <si>
    <t>ALT YIKAMA 34 KLT 489</t>
  </si>
  <si>
    <t>PERSONEL YEMEK ADNAN BEY MEHMET BEY FATİH BEY</t>
  </si>
  <si>
    <t>34 KLT 512 ARAÇ BAKIM</t>
  </si>
  <si>
    <t>OTAPARK  ÜCRETİ</t>
  </si>
  <si>
    <t xml:space="preserve">LASTİK TAMİRİ 42 CMF 08 </t>
  </si>
  <si>
    <t>ISG TÜP DOLUMU ALIMI</t>
  </si>
  <si>
    <t>34 COS 040 YIKAMA</t>
  </si>
  <si>
    <t>34 COS 040 BALANS AYARI</t>
  </si>
  <si>
    <t>YAZICI İÇİN PERDE ALIMI</t>
  </si>
  <si>
    <t>34 KLT 512 LASTIK TAMİRİ</t>
  </si>
  <si>
    <t>ARABAYA GAZ ALIMI (PERSONEL EVE BIRAKMA)</t>
  </si>
  <si>
    <t>FATİH BEY PERSONEL YEMEK (2 KİŞİ)</t>
  </si>
  <si>
    <t>42 CMF 08 LASTİK TAMİRİX2</t>
  </si>
  <si>
    <t>KAŞE YAPIMI OFİS İÇİN</t>
  </si>
  <si>
    <t>FATİH BEY PERSONEL YEMEK (2 KİŞİ) İÇECEK</t>
  </si>
  <si>
    <t>PERSONEL YEMEK KİBAR EMRAH</t>
  </si>
  <si>
    <t>TMMOB ODASI ÖDEMESİ (NİYAZİ FURKAN MADEN)</t>
  </si>
  <si>
    <t>FATİH BEY YEMEK 2 KİŞİ</t>
  </si>
  <si>
    <t>BACA DELME İÇİN ALINAN MALZEME FATİH BEY</t>
  </si>
  <si>
    <t>ÇEKMEKÖY BELEDİYE İŞLERİ İÇİN ALINAN MAZOT HAMZA BEY</t>
  </si>
  <si>
    <t>ÇEKMEKÖY ÇIKTI PARASI HAMZA BEY</t>
  </si>
  <si>
    <t xml:space="preserve">PAZAR GELELN ARAÇ MAZOT ALIMI </t>
  </si>
  <si>
    <t>PAZAR GÜNÜ GELEN ARAÇ İÇ DIŞ YIKAMA</t>
  </si>
  <si>
    <t>PERSONEL YEMEK (KOMUTANLAR)</t>
  </si>
  <si>
    <t>PERSONEL YEMEK CELAL FATİH</t>
  </si>
  <si>
    <t>SUBAT</t>
  </si>
  <si>
    <t>HARİTA GPRS FATURASI ÖDEMESİ (2 AYLIK)</t>
  </si>
  <si>
    <t>ISG İLAÇ ALIMI</t>
  </si>
  <si>
    <t>İÇ DIŞ YIKAMA 34 FAB 720</t>
  </si>
  <si>
    <t>ÇEKMEKÖY BELEDİYESİ</t>
  </si>
  <si>
    <t>ÇEVRE ŞEHİRCİLİK BAKANLIĞI FOTOKOPİ BEDELİ</t>
  </si>
  <si>
    <t>PLASTİK SU DEPOSU TAMİRİ</t>
  </si>
  <si>
    <t>HAFTA SONU ARAÇ YIKAMA SERVİS OLMADIĞI İÇİN</t>
  </si>
  <si>
    <t>AGV BOZULDUĞU İÇİN AKSAM EVE GİTME SEZER BEY</t>
  </si>
  <si>
    <t>TAKSİ ÜCRETİ (SERVİSTEN KESİLECEK)</t>
  </si>
  <si>
    <t>34 COS 040 BLANS</t>
  </si>
  <si>
    <t>34 EDB 210 BLANS</t>
  </si>
  <si>
    <t>25 TONLUK SU TANKERİ TAMİRİ</t>
  </si>
  <si>
    <t>SAKLAMA KABI ANAHTARLIK</t>
  </si>
  <si>
    <t>HAFTA SONU ARAÇ MAZOT SERVİS OLMADIĞI İÇİN ( SERVİSTEN KESİLECEK)</t>
  </si>
  <si>
    <t>ÇEKMEKÖY ELİF ECEM</t>
  </si>
  <si>
    <t>KATO VİDO ALIMI CELAL</t>
  </si>
  <si>
    <t>34 DOH 012 LASTİK YAPIMI</t>
  </si>
  <si>
    <t>34 KLT 512 BALANS AYARI</t>
  </si>
  <si>
    <t>PİL SARJ ETME ALETİ</t>
  </si>
  <si>
    <t>İKAME ARAÇ YAKIT</t>
  </si>
  <si>
    <t>DOSYA AYRACI</t>
  </si>
  <si>
    <t>CELAL FATİH YEMEK</t>
  </si>
  <si>
    <t>FATİH BEY CELAL ABİ YEMEK</t>
  </si>
  <si>
    <t>MEHMET BEY GÖZLÜK MASRAFLARI</t>
  </si>
  <si>
    <t xml:space="preserve">CELAL YEMEK </t>
  </si>
  <si>
    <t>4 KLT YIKAMA TLASTİK TAMİR</t>
  </si>
  <si>
    <t>JCB HİDROLİK HORTUM TAMİRİ</t>
  </si>
  <si>
    <t>34 KLT YIKAMA</t>
  </si>
  <si>
    <t>OFİS TEMİZLİK MALZEMESİ ALIMI</t>
  </si>
  <si>
    <t>LASTİK TAMİRİ 34 AGV 049</t>
  </si>
  <si>
    <t xml:space="preserve">EPP İKRAM </t>
  </si>
  <si>
    <t xml:space="preserve">LASTİK TAMİRİ 34 KLT 512 </t>
  </si>
  <si>
    <t>KAŞE YAPIMI VE ÇIKTI ALIMI</t>
  </si>
  <si>
    <t xml:space="preserve">FATİH BEY YEMEK </t>
  </si>
  <si>
    <t>FATİH BEY CİVATA ALIMI</t>
  </si>
  <si>
    <t>FATİH BEY YEMEK</t>
  </si>
  <si>
    <t>FATİH BEY HIRDAVAT ALIMI</t>
  </si>
  <si>
    <t>ANAHTAR KABI ALIMI</t>
  </si>
  <si>
    <t>34 COS 040 İÇ DIŞ YIKAMA</t>
  </si>
  <si>
    <t>CELAL AHMET YEMEK</t>
  </si>
  <si>
    <t>EFE ELEKTRİK MALZEME ALIMI</t>
  </si>
  <si>
    <t>YURT İÇİ KORGO NUMUNE ALIMI</t>
  </si>
  <si>
    <t>KÜBRA OK TMMOB ODASI ÜCRETİ</t>
  </si>
  <si>
    <t>HİDROLİK HORTUM TAMİRİ</t>
  </si>
  <si>
    <t>MALZEME ALIMI FATİH BEY</t>
  </si>
  <si>
    <t>CELAL YEMEK 2 KİŞİ</t>
  </si>
  <si>
    <t>OTOPARK ÜCRETİ MEHMET BEY</t>
  </si>
  <si>
    <t xml:space="preserve">EMLAK KONUT MEHMET BEY YEMEK </t>
  </si>
  <si>
    <t>İÇ DIŞ YIKAMA 34 COS 040</t>
  </si>
  <si>
    <t>ÇEKMEKÖY YEMEK FURKAN BEY</t>
  </si>
  <si>
    <t>AGV YIKAMA</t>
  </si>
  <si>
    <t xml:space="preserve">YIKAMA MAKİNE SİBOP TAKIMI YAPIMI </t>
  </si>
  <si>
    <t>SEFFAF DOSYA ALIMI</t>
  </si>
  <si>
    <t>CELAL AHMET TAMER ÇEKMEKÖY YEMEK</t>
  </si>
  <si>
    <t>34 AGV 049 YIKAMA İÇ DIŞ YUNUS EMRE İNCE İŞLER ŞEFİ</t>
  </si>
  <si>
    <t>34 KLT 512 LASTİK TAMİRİ VE DEĞİŞİM</t>
  </si>
  <si>
    <t>ARAÇ YIKAMA</t>
  </si>
  <si>
    <t>KÜÇÜK EL ALETLERİ KÖMÜR ALIMI</t>
  </si>
  <si>
    <t>34 KLT 512 2 ADET LASTİK TAMİRİ</t>
  </si>
  <si>
    <t>HARİTA GPRS FATURA ÖDEMESİ (3 AYLIK)</t>
  </si>
  <si>
    <t>ÇEKMEKÖYDEN GELİRKEN ÖĞLE YEMEĞİ İÇİN YENEN YEMEK AHMET</t>
  </si>
  <si>
    <t>YEMEK KİBAR</t>
  </si>
  <si>
    <t>USB KABLOSU ALIMI OFİS</t>
  </si>
  <si>
    <t>EPP GÜSOY BEY'İN TALİMATI İLE YAPILAN HARCAMA</t>
  </si>
  <si>
    <t>BEYAZ MASTİK</t>
  </si>
  <si>
    <t>ÖĞLE YEMEK KİBAR</t>
  </si>
  <si>
    <t>ÇEKMEKÖY MALZEME ALIMI</t>
  </si>
  <si>
    <t>ÇEKMEKÖY ÖĞLE YEMEK</t>
  </si>
  <si>
    <t>ÇEKMEKÖY YEMEK FATİH BEY</t>
  </si>
  <si>
    <t>EPP İÇİN ALINAN MALZEMESİ</t>
  </si>
  <si>
    <t>YIKAMA MAKİNESİ KÖPÜK POMPASI</t>
  </si>
  <si>
    <t>ÇEKMEKÖYE GİDEN 34 PLU 859 ARAÇ HGS ÜCRETİ</t>
  </si>
  <si>
    <t>SABRİ BEY YIKAMA</t>
  </si>
  <si>
    <t>SABRİ BEY LASTİK TAMİR</t>
  </si>
  <si>
    <t>SABRİ BEY YEMEK</t>
  </si>
  <si>
    <t>ZEYTİNBURNU'DAN SABİHA HAVAALANI SEYHAN ABİ</t>
  </si>
  <si>
    <t>SEYHAN ABİ HAVABUS</t>
  </si>
  <si>
    <t>SEYHAN ABİ YEMEK</t>
  </si>
  <si>
    <t>DALGIÇ POMPA KARGO ÜCRETİ</t>
  </si>
  <si>
    <t>SEYHAN ABİ HIRDAVAT</t>
  </si>
  <si>
    <t>EPP TATLI</t>
  </si>
  <si>
    <t>BÜŞRA MAUSE</t>
  </si>
  <si>
    <t>OFİS ÇAY OCAĞI TAMİR</t>
  </si>
  <si>
    <t>OFİS TÜRK KAHVESİ ALIMI</t>
  </si>
  <si>
    <t>34 KLT 512 CAM SİL</t>
  </si>
  <si>
    <t xml:space="preserve">EPP TATLI ALIMI </t>
  </si>
  <si>
    <t>EPP TOST ALIMI</t>
  </si>
  <si>
    <t>ADNAN SEF OTO  YIKAMA</t>
  </si>
  <si>
    <t>KİBAR YEMEK</t>
  </si>
  <si>
    <t>CELAL- YAHYA YEMEK</t>
  </si>
  <si>
    <t>YAHYA KABLOLU MAUSE ALIMI</t>
  </si>
  <si>
    <t>OFİS İÇİ SİNEK ÖLDÜRME CİHAZI ALIMI</t>
  </si>
  <si>
    <t>BARET VE YELEK ALIMI</t>
  </si>
  <si>
    <t>OFİS KALEM PİL ALIMI</t>
  </si>
  <si>
    <t>SEZER MAUSE ALIMI</t>
  </si>
  <si>
    <t>EMLAK KONUT TOST ALIMI</t>
  </si>
  <si>
    <t xml:space="preserve">KAHVALTILIK </t>
  </si>
  <si>
    <t>OFİS BARDAK ALIMI</t>
  </si>
  <si>
    <t>ZIMBA ALIMI</t>
  </si>
  <si>
    <t>ARAÇ KONTAK PİLİ</t>
  </si>
  <si>
    <t>MAZOT ALIMI FATİH BEY</t>
  </si>
  <si>
    <t>CELAL YAKIT</t>
  </si>
  <si>
    <t>İLAÇ ALIMI CELAL</t>
  </si>
  <si>
    <t>AGV PARK CELAL</t>
  </si>
  <si>
    <t>SİNEKLİK İLACI CELAL</t>
  </si>
  <si>
    <t>JCB 10 A SİGORTA ALIMI CELAL</t>
  </si>
  <si>
    <t>MEYVE SUYU ALIMI OFİS</t>
  </si>
  <si>
    <t xml:space="preserve">KANTİN TOST YAPIMI EPP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</si>
</sst>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-* #,##0.00\ &quot;₺&quot;_-;\-* #,##0.00\ &quot;₺&quot;_-;_-* &quot;-&quot;??\ &quot;₺&quot;_-;_-@_-"/>
    <numFmt numFmtId="186" formatCode="_ * #,##0.00_)&quot;TL&quot;_ ;_ * \(#,##0.00\)&quot;TL&quot;_ ;_ * &quot;-&quot;??_)&quot;TL&quot;_ ;_ @_ "/>
  </numFmts>
  <fonts count="16" x14ac:knownFonts="1">
    <font>
      <sz val="10"/>
      <name val="Arial"/>
      <charset val="162"/>
    </font>
    <font>
      <sz val="10"/>
      <name val="Arial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11"/>
      <name val="Arial"/>
      <family val="2"/>
      <charset val="162"/>
    </font>
    <font>
      <b/>
      <sz val="12"/>
      <name val="Arial"/>
      <family val="2"/>
      <charset val="162"/>
    </font>
    <font>
      <b/>
      <sz val="14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3" tint="0.24994659260841701"/>
      <name val="Cambria"/>
      <family val="2"/>
      <scheme val="major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color theme="1" tint="0.249977111117893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5DA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theme="3" tint="0.249946592608417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6">
    <xf numFmtId="0" fontId="0" fillId="0" borderId="0"/>
    <xf numFmtId="0" fontId="9" fillId="2" borderId="10" applyNumberFormat="0" applyProtection="0">
      <alignment horizontal="left"/>
    </xf>
    <xf numFmtId="0" fontId="10" fillId="3" borderId="1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11" fillId="4" borderId="0">
      <alignment vertical="center" wrapText="1"/>
    </xf>
    <xf numFmtId="186" fontId="1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1" applyNumberFormat="0" applyProtection="0"/>
  </cellStyleXfs>
  <cellXfs count="89">
    <xf numFmtId="0" fontId="0" fillId="0" borderId="0" xfId="0"/>
    <xf numFmtId="0" fontId="12" fillId="0" borderId="0" xfId="0" applyFont="1" applyFill="1"/>
    <xf numFmtId="0" fontId="12" fillId="0" borderId="1" xfId="0" applyFont="1" applyFill="1" applyBorder="1"/>
    <xf numFmtId="0" fontId="12" fillId="0" borderId="1" xfId="0" applyFont="1" applyFill="1" applyBorder="1" applyAlignment="1">
      <alignment horizontal="left"/>
    </xf>
    <xf numFmtId="4" fontId="12" fillId="0" borderId="1" xfId="0" applyNumberFormat="1" applyFont="1" applyFill="1" applyBorder="1" applyAlignment="1">
      <alignment horizontal="right"/>
    </xf>
    <xf numFmtId="14" fontId="12" fillId="0" borderId="1" xfId="0" applyNumberFormat="1" applyFont="1" applyFill="1" applyBorder="1" applyAlignment="1">
      <alignment horizontal="center"/>
    </xf>
    <xf numFmtId="14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left"/>
    </xf>
    <xf numFmtId="4" fontId="12" fillId="5" borderId="1" xfId="0" applyNumberFormat="1" applyFont="1" applyFill="1" applyBorder="1" applyAlignment="1">
      <alignment horizontal="right"/>
    </xf>
    <xf numFmtId="0" fontId="12" fillId="5" borderId="1" xfId="0" applyFont="1" applyFill="1" applyBorder="1"/>
    <xf numFmtId="4" fontId="13" fillId="5" borderId="1" xfId="8" applyNumberFormat="1" applyFont="1" applyFill="1" applyBorder="1" applyAlignment="1">
      <alignment horizontal="right"/>
    </xf>
    <xf numFmtId="4" fontId="13" fillId="5" borderId="1" xfId="0" applyNumberFormat="1" applyFont="1" applyFill="1" applyBorder="1" applyAlignment="1">
      <alignment horizontal="right"/>
    </xf>
    <xf numFmtId="4" fontId="12" fillId="5" borderId="1" xfId="8" applyNumberFormat="1" applyFont="1" applyFill="1" applyBorder="1" applyAlignment="1">
      <alignment horizontal="right"/>
    </xf>
    <xf numFmtId="0" fontId="13" fillId="5" borderId="1" xfId="8" applyFont="1" applyFill="1" applyBorder="1"/>
    <xf numFmtId="14" fontId="12" fillId="5" borderId="1" xfId="0" applyNumberFormat="1" applyFont="1" applyFill="1" applyBorder="1" applyAlignment="1">
      <alignment horizontal="left"/>
    </xf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3" fillId="5" borderId="0" xfId="0" applyFont="1" applyFill="1"/>
    <xf numFmtId="0" fontId="12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0" fontId="12" fillId="8" borderId="0" xfId="0" applyFont="1" applyFill="1"/>
    <xf numFmtId="0" fontId="13" fillId="0" borderId="1" xfId="0" applyFont="1" applyFill="1" applyBorder="1" applyAlignment="1">
      <alignment horizontal="left"/>
    </xf>
    <xf numFmtId="0" fontId="12" fillId="0" borderId="0" xfId="0" applyFont="1" applyFill="1" applyBorder="1"/>
    <xf numFmtId="2" fontId="12" fillId="0" borderId="1" xfId="0" applyNumberFormat="1" applyFont="1" applyFill="1" applyBorder="1" applyAlignment="1">
      <alignment horizontal="right"/>
    </xf>
    <xf numFmtId="2" fontId="14" fillId="7" borderId="1" xfId="0" applyNumberFormat="1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9" borderId="1" xfId="0" applyFont="1" applyFill="1" applyBorder="1" applyAlignment="1"/>
    <xf numFmtId="0" fontId="12" fillId="9" borderId="1" xfId="0" applyFont="1" applyFill="1" applyBorder="1" applyAlignment="1">
      <alignment horizontal="left"/>
    </xf>
    <xf numFmtId="4" fontId="12" fillId="9" borderId="1" xfId="0" applyNumberFormat="1" applyFont="1" applyFill="1" applyBorder="1" applyAlignment="1">
      <alignment horizontal="right"/>
    </xf>
    <xf numFmtId="0" fontId="12" fillId="10" borderId="1" xfId="0" applyFont="1" applyFill="1" applyBorder="1" applyAlignment="1">
      <alignment horizontal="center" vertical="center" wrapText="1"/>
    </xf>
    <xf numFmtId="4" fontId="12" fillId="10" borderId="1" xfId="0" applyNumberFormat="1" applyFont="1" applyFill="1" applyBorder="1" applyAlignment="1">
      <alignment horizontal="center" vertical="center" wrapText="1"/>
    </xf>
    <xf numFmtId="0" fontId="12" fillId="5" borderId="0" xfId="0" applyFont="1" applyFill="1" applyBorder="1"/>
    <xf numFmtId="0" fontId="12" fillId="0" borderId="0" xfId="0" applyFont="1" applyBorder="1"/>
    <xf numFmtId="14" fontId="14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6" borderId="0" xfId="0" applyFont="1" applyFill="1" applyBorder="1"/>
    <xf numFmtId="0" fontId="13" fillId="5" borderId="0" xfId="0" applyFont="1" applyFill="1" applyBorder="1"/>
    <xf numFmtId="0" fontId="12" fillId="8" borderId="0" xfId="0" applyFont="1" applyFill="1" applyBorder="1"/>
    <xf numFmtId="4" fontId="12" fillId="9" borderId="1" xfId="0" applyNumberFormat="1" applyFont="1" applyFill="1" applyBorder="1" applyAlignment="1">
      <alignment horizontal="right"/>
    </xf>
    <xf numFmtId="4" fontId="12" fillId="10" borderId="1" xfId="0" applyNumberFormat="1" applyFont="1" applyFill="1" applyBorder="1" applyAlignment="1">
      <alignment horizontal="center" vertical="center" wrapText="1"/>
    </xf>
    <xf numFmtId="4" fontId="12" fillId="5" borderId="1" xfId="0" applyNumberFormat="1" applyFont="1" applyFill="1" applyBorder="1" applyAlignment="1">
      <alignment horizontal="right"/>
    </xf>
    <xf numFmtId="4" fontId="12" fillId="7" borderId="1" xfId="0" applyNumberFormat="1" applyFont="1" applyFill="1" applyBorder="1" applyAlignment="1">
      <alignment horizontal="right"/>
    </xf>
    <xf numFmtId="4" fontId="12" fillId="0" borderId="1" xfId="0" applyNumberFormat="1" applyFont="1" applyFill="1" applyBorder="1" applyAlignment="1">
      <alignment horizontal="right"/>
    </xf>
    <xf numFmtId="4" fontId="13" fillId="5" borderId="1" xfId="0" applyNumberFormat="1" applyFont="1" applyFill="1" applyBorder="1" applyAlignment="1">
      <alignment horizontal="right"/>
    </xf>
    <xf numFmtId="4" fontId="13" fillId="0" borderId="1" xfId="0" applyNumberFormat="1" applyFont="1" applyFill="1" applyBorder="1" applyAlignment="1">
      <alignment horizontal="right"/>
    </xf>
    <xf numFmtId="0" fontId="13" fillId="0" borderId="0" xfId="0" applyFont="1" applyFill="1" applyBorder="1"/>
    <xf numFmtId="0" fontId="13" fillId="0" borderId="0" xfId="0" applyFont="1" applyFill="1"/>
    <xf numFmtId="0" fontId="2" fillId="0" borderId="1" xfId="0" applyFont="1" applyBorder="1" applyAlignment="1">
      <alignment horizontal="center"/>
    </xf>
    <xf numFmtId="186" fontId="0" fillId="0" borderId="1" xfId="12" applyFont="1" applyBorder="1" applyAlignment="1">
      <alignment horizontal="center"/>
    </xf>
    <xf numFmtId="0" fontId="2" fillId="0" borderId="1" xfId="1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86" fontId="6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0" xfId="0" applyFont="1"/>
    <xf numFmtId="0" fontId="12" fillId="5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4" fontId="12" fillId="5" borderId="1" xfId="0" applyNumberFormat="1" applyFont="1" applyFill="1" applyBorder="1" applyAlignment="1">
      <alignment horizontal="left" vertical="top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left" vertical="center" wrapText="1"/>
    </xf>
    <xf numFmtId="14" fontId="12" fillId="0" borderId="0" xfId="0" applyNumberFormat="1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5" borderId="0" xfId="0" applyFont="1" applyFill="1" applyBorder="1" applyAlignment="1">
      <alignment horizontal="left"/>
    </xf>
    <xf numFmtId="4" fontId="12" fillId="5" borderId="0" xfId="0" applyNumberFormat="1" applyFont="1" applyFill="1" applyBorder="1" applyAlignment="1">
      <alignment horizontal="right"/>
    </xf>
    <xf numFmtId="0" fontId="1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6">
    <cellStyle name="Başlık 5" xfId="1" xr:uid="{5CC10347-0F8C-4A8D-9875-F47FC05F2EEB}"/>
    <cellStyle name="İşaretli Hücre" xfId="2" builtinId="23" customBuiltin="1"/>
    <cellStyle name="Normal" xfId="0" builtinId="0"/>
    <cellStyle name="Normal 10 2" xfId="3" xr:uid="{22852B61-14E7-4EDC-B97A-0D443A73F111}"/>
    <cellStyle name="Normal 11 2" xfId="4" xr:uid="{CA5BB8F0-4295-4546-8928-CF2E1D62D396}"/>
    <cellStyle name="Normal 12 2" xfId="5" xr:uid="{0B84CEE8-51B0-4E64-960E-B20E7332234D}"/>
    <cellStyle name="Normal 13 2" xfId="6" xr:uid="{7726606B-6129-4729-9673-A2EBE81A133D}"/>
    <cellStyle name="Normal 2" xfId="7" xr:uid="{DDD317A5-7A44-4F95-9180-BDDE9DEB511A}"/>
    <cellStyle name="Normal 2 2" xfId="8" xr:uid="{461CB930-A7C1-43F6-AD19-C28BEB4C8B97}"/>
    <cellStyle name="Normal 3" xfId="9" xr:uid="{AB1698D2-358E-409C-BB17-DC641D82C3A9}"/>
    <cellStyle name="Normal 3 2" xfId="10" xr:uid="{06D9527C-30B1-4285-8303-A35CEF7D1D36}"/>
    <cellStyle name="Normal 4x" xfId="11" xr:uid="{076C1CA0-A553-4646-B6AA-1FA76E5C3893}"/>
    <cellStyle name="ParaBirimi" xfId="12" builtinId="4"/>
    <cellStyle name="ParaBirimi 2" xfId="13" xr:uid="{D7D25E44-C7B4-499E-BCC4-9B324B5C0AC9}"/>
    <cellStyle name="ParaBirimi 2 2" xfId="14" xr:uid="{2E2947EE-8103-44B2-B8EE-85A6140A876A}"/>
    <cellStyle name="Stil 1" xfId="15" xr:uid="{CFE6418D-DD0A-4314-9296-436FD7F271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C1DC-BC74-4B11-8082-34F9325766C5}">
  <sheetPr>
    <pageSetUpPr fitToPage="1"/>
  </sheetPr>
  <dimension ref="A1:AR1075"/>
  <sheetViews>
    <sheetView tabSelected="1" zoomScaleNormal="100" zoomScaleSheetLayoutView="115" workbookViewId="0">
      <pane ySplit="2" topLeftCell="A1067" activePane="bottomLeft" state="frozen"/>
      <selection activeCell="G25" sqref="G25"/>
      <selection pane="bottomLeft" activeCell="H1076" sqref="H1076"/>
    </sheetView>
  </sheetViews>
  <sheetFormatPr defaultColWidth="9.109375" defaultRowHeight="12" x14ac:dyDescent="0.25"/>
  <cols>
    <col min="1" max="1" width="12.6640625" style="30" bestFit="1" customWidth="1"/>
    <col min="2" max="2" width="8.44140625" style="30" bestFit="1" customWidth="1"/>
    <col min="3" max="3" width="5.33203125" style="30" bestFit="1" customWidth="1"/>
    <col min="4" max="4" width="56.6640625" style="3" bestFit="1" customWidth="1"/>
    <col min="5" max="5" width="8.5546875" style="4" customWidth="1"/>
    <col min="6" max="6" width="9.6640625" style="4" customWidth="1"/>
    <col min="7" max="7" width="8.33203125" style="49" bestFit="1" customWidth="1"/>
    <col min="8" max="44" width="9.109375" style="26"/>
    <col min="45" max="16384" width="9.109375" style="1"/>
  </cols>
  <sheetData>
    <row r="1" spans="1:7" x14ac:dyDescent="0.25">
      <c r="A1" s="32">
        <v>31</v>
      </c>
      <c r="B1" s="84" t="s">
        <v>9</v>
      </c>
      <c r="C1" s="84"/>
      <c r="D1" s="33" t="s">
        <v>238</v>
      </c>
      <c r="E1" s="34">
        <f>SUM(E3:E1075)</f>
        <v>1091062.48</v>
      </c>
      <c r="F1" s="34">
        <f>SUM(F3:F1075)</f>
        <v>1090157.0899999996</v>
      </c>
      <c r="G1" s="45">
        <f>E1-F1</f>
        <v>905.39000000036322</v>
      </c>
    </row>
    <row r="2" spans="1:7" ht="26.25" customHeight="1" x14ac:dyDescent="0.25">
      <c r="A2" s="35" t="s">
        <v>0</v>
      </c>
      <c r="B2" s="35" t="s">
        <v>1</v>
      </c>
      <c r="C2" s="35" t="s">
        <v>6</v>
      </c>
      <c r="D2" s="35" t="s">
        <v>2</v>
      </c>
      <c r="E2" s="36" t="s">
        <v>4</v>
      </c>
      <c r="F2" s="36" t="s">
        <v>5</v>
      </c>
      <c r="G2" s="46" t="s">
        <v>3</v>
      </c>
    </row>
    <row r="3" spans="1:7" x14ac:dyDescent="0.25">
      <c r="A3" s="6">
        <v>45474</v>
      </c>
      <c r="B3" s="7" t="s">
        <v>8</v>
      </c>
      <c r="C3" s="7">
        <v>2024</v>
      </c>
      <c r="D3" s="8" t="s">
        <v>7</v>
      </c>
      <c r="E3" s="9">
        <v>0</v>
      </c>
      <c r="F3" s="9">
        <v>0</v>
      </c>
      <c r="G3" s="47">
        <f>E3-F3</f>
        <v>0</v>
      </c>
    </row>
    <row r="4" spans="1:7" x14ac:dyDescent="0.25">
      <c r="A4" s="39">
        <v>45489</v>
      </c>
      <c r="B4" s="22" t="s">
        <v>8</v>
      </c>
      <c r="C4" s="22">
        <v>2024</v>
      </c>
      <c r="D4" s="40" t="s">
        <v>14</v>
      </c>
      <c r="E4" s="28">
        <v>3792.48</v>
      </c>
      <c r="F4" s="28"/>
      <c r="G4" s="48">
        <f t="shared" ref="G4:G35" si="0">G3+E4-F4</f>
        <v>3792.48</v>
      </c>
    </row>
    <row r="5" spans="1:7" x14ac:dyDescent="0.25">
      <c r="A5" s="39">
        <v>45491</v>
      </c>
      <c r="B5" s="22" t="s">
        <v>8</v>
      </c>
      <c r="C5" s="22">
        <v>2024</v>
      </c>
      <c r="D5" s="41" t="s">
        <v>15</v>
      </c>
      <c r="E5" s="28">
        <v>44770</v>
      </c>
      <c r="F5" s="29"/>
      <c r="G5" s="48">
        <f t="shared" si="0"/>
        <v>48562.48</v>
      </c>
    </row>
    <row r="6" spans="1:7" x14ac:dyDescent="0.25">
      <c r="A6" s="5">
        <v>45496</v>
      </c>
      <c r="B6" s="7" t="s">
        <v>8</v>
      </c>
      <c r="C6" s="7">
        <v>2024</v>
      </c>
      <c r="D6" s="2" t="s">
        <v>16</v>
      </c>
      <c r="E6" s="27"/>
      <c r="F6" s="27">
        <v>1600</v>
      </c>
      <c r="G6" s="47">
        <f t="shared" si="0"/>
        <v>46962.48</v>
      </c>
    </row>
    <row r="7" spans="1:7" x14ac:dyDescent="0.25">
      <c r="A7" s="5">
        <v>45496</v>
      </c>
      <c r="B7" s="7" t="s">
        <v>8</v>
      </c>
      <c r="C7" s="7">
        <v>2024</v>
      </c>
      <c r="D7" s="3" t="s">
        <v>17</v>
      </c>
      <c r="E7" s="27"/>
      <c r="F7" s="27">
        <v>1500</v>
      </c>
      <c r="G7" s="47">
        <f t="shared" si="0"/>
        <v>45462.48</v>
      </c>
    </row>
    <row r="8" spans="1:7" x14ac:dyDescent="0.25">
      <c r="A8" s="5">
        <v>45496</v>
      </c>
      <c r="B8" s="7" t="s">
        <v>8</v>
      </c>
      <c r="C8" s="7">
        <v>2024</v>
      </c>
      <c r="D8" s="2" t="s">
        <v>18</v>
      </c>
      <c r="E8" s="27"/>
      <c r="F8" s="27">
        <v>1040</v>
      </c>
      <c r="G8" s="47">
        <f t="shared" si="0"/>
        <v>44422.48</v>
      </c>
    </row>
    <row r="9" spans="1:7" x14ac:dyDescent="0.25">
      <c r="A9" s="5">
        <v>45496</v>
      </c>
      <c r="B9" s="7" t="s">
        <v>8</v>
      </c>
      <c r="C9" s="7">
        <v>2024</v>
      </c>
      <c r="D9" s="2" t="s">
        <v>19</v>
      </c>
      <c r="E9" s="27"/>
      <c r="F9" s="27">
        <v>410</v>
      </c>
      <c r="G9" s="47">
        <f t="shared" si="0"/>
        <v>44012.480000000003</v>
      </c>
    </row>
    <row r="10" spans="1:7" x14ac:dyDescent="0.25">
      <c r="A10" s="5">
        <v>45496</v>
      </c>
      <c r="B10" s="7" t="s">
        <v>8</v>
      </c>
      <c r="C10" s="7">
        <v>2024</v>
      </c>
      <c r="D10" s="2" t="s">
        <v>20</v>
      </c>
      <c r="E10" s="27"/>
      <c r="F10" s="27">
        <v>187.5</v>
      </c>
      <c r="G10" s="47">
        <f t="shared" si="0"/>
        <v>43824.98</v>
      </c>
    </row>
    <row r="11" spans="1:7" x14ac:dyDescent="0.25">
      <c r="A11" s="5">
        <v>45496</v>
      </c>
      <c r="B11" s="7" t="s">
        <v>8</v>
      </c>
      <c r="C11" s="7">
        <v>2024</v>
      </c>
      <c r="D11" s="2" t="s">
        <v>20</v>
      </c>
      <c r="E11" s="27"/>
      <c r="F11" s="27">
        <v>187.5</v>
      </c>
      <c r="G11" s="47">
        <f t="shared" si="0"/>
        <v>43637.48</v>
      </c>
    </row>
    <row r="12" spans="1:7" x14ac:dyDescent="0.25">
      <c r="A12" s="5">
        <v>45496</v>
      </c>
      <c r="B12" s="7" t="s">
        <v>8</v>
      </c>
      <c r="C12" s="7">
        <v>2024</v>
      </c>
      <c r="D12" s="2" t="s">
        <v>21</v>
      </c>
      <c r="E12" s="27"/>
      <c r="F12" s="27">
        <v>350</v>
      </c>
      <c r="G12" s="47">
        <f t="shared" si="0"/>
        <v>43287.48</v>
      </c>
    </row>
    <row r="13" spans="1:7" x14ac:dyDescent="0.25">
      <c r="A13" s="5">
        <v>45496</v>
      </c>
      <c r="B13" s="7" t="s">
        <v>8</v>
      </c>
      <c r="C13" s="7">
        <v>2024</v>
      </c>
      <c r="D13" s="2" t="s">
        <v>22</v>
      </c>
      <c r="E13" s="27"/>
      <c r="F13" s="27">
        <v>241</v>
      </c>
      <c r="G13" s="47">
        <f t="shared" si="0"/>
        <v>43046.48</v>
      </c>
    </row>
    <row r="14" spans="1:7" x14ac:dyDescent="0.25">
      <c r="A14" s="5">
        <v>45496</v>
      </c>
      <c r="B14" s="7" t="s">
        <v>8</v>
      </c>
      <c r="C14" s="7">
        <v>2024</v>
      </c>
      <c r="D14" s="2" t="s">
        <v>23</v>
      </c>
      <c r="E14" s="27"/>
      <c r="F14" s="27">
        <v>220</v>
      </c>
      <c r="G14" s="47">
        <f t="shared" si="0"/>
        <v>42826.48</v>
      </c>
    </row>
    <row r="15" spans="1:7" x14ac:dyDescent="0.25">
      <c r="A15" s="5">
        <v>45496</v>
      </c>
      <c r="B15" s="7" t="s">
        <v>8</v>
      </c>
      <c r="C15" s="7">
        <v>2024</v>
      </c>
      <c r="D15" s="2" t="s">
        <v>24</v>
      </c>
      <c r="E15" s="27"/>
      <c r="F15" s="27">
        <v>750</v>
      </c>
      <c r="G15" s="47">
        <f t="shared" si="0"/>
        <v>42076.480000000003</v>
      </c>
    </row>
    <row r="16" spans="1:7" x14ac:dyDescent="0.25">
      <c r="A16" s="5">
        <v>45496</v>
      </c>
      <c r="B16" s="7" t="s">
        <v>8</v>
      </c>
      <c r="C16" s="7">
        <v>2024</v>
      </c>
      <c r="D16" s="2" t="s">
        <v>25</v>
      </c>
      <c r="E16" s="27"/>
      <c r="F16" s="27">
        <v>260</v>
      </c>
      <c r="G16" s="47">
        <f t="shared" si="0"/>
        <v>41816.480000000003</v>
      </c>
    </row>
    <row r="17" spans="1:7" x14ac:dyDescent="0.25">
      <c r="A17" s="5">
        <v>45496</v>
      </c>
      <c r="B17" s="7" t="s">
        <v>8</v>
      </c>
      <c r="C17" s="7">
        <v>2024</v>
      </c>
      <c r="D17" s="2" t="s">
        <v>26</v>
      </c>
      <c r="E17" s="27"/>
      <c r="F17" s="27">
        <v>150</v>
      </c>
      <c r="G17" s="47">
        <f t="shared" si="0"/>
        <v>41666.480000000003</v>
      </c>
    </row>
    <row r="18" spans="1:7" x14ac:dyDescent="0.25">
      <c r="A18" s="5">
        <v>45496</v>
      </c>
      <c r="B18" s="7" t="s">
        <v>8</v>
      </c>
      <c r="C18" s="7">
        <v>2024</v>
      </c>
      <c r="D18" s="2" t="s">
        <v>27</v>
      </c>
      <c r="E18" s="27"/>
      <c r="F18" s="27">
        <v>40</v>
      </c>
      <c r="G18" s="47">
        <f t="shared" si="0"/>
        <v>41626.480000000003</v>
      </c>
    </row>
    <row r="19" spans="1:7" x14ac:dyDescent="0.25">
      <c r="A19" s="5">
        <v>45496</v>
      </c>
      <c r="B19" s="7" t="s">
        <v>8</v>
      </c>
      <c r="C19" s="7">
        <v>2024</v>
      </c>
      <c r="D19" s="2" t="s">
        <v>27</v>
      </c>
      <c r="E19" s="27"/>
      <c r="F19" s="27">
        <v>40</v>
      </c>
      <c r="G19" s="47">
        <f t="shared" si="0"/>
        <v>41586.480000000003</v>
      </c>
    </row>
    <row r="20" spans="1:7" x14ac:dyDescent="0.25">
      <c r="A20" s="5">
        <v>45496</v>
      </c>
      <c r="B20" s="7" t="s">
        <v>8</v>
      </c>
      <c r="C20" s="7">
        <v>2024</v>
      </c>
      <c r="D20" s="2" t="s">
        <v>28</v>
      </c>
      <c r="E20" s="27"/>
      <c r="F20" s="27">
        <v>240</v>
      </c>
      <c r="G20" s="47">
        <f t="shared" si="0"/>
        <v>41346.480000000003</v>
      </c>
    </row>
    <row r="21" spans="1:7" x14ac:dyDescent="0.25">
      <c r="A21" s="5">
        <v>45496</v>
      </c>
      <c r="B21" s="7" t="s">
        <v>8</v>
      </c>
      <c r="C21" s="7">
        <v>2024</v>
      </c>
      <c r="D21" s="2" t="s">
        <v>29</v>
      </c>
      <c r="E21" s="27"/>
      <c r="F21" s="27">
        <v>750</v>
      </c>
      <c r="G21" s="47">
        <f t="shared" si="0"/>
        <v>40596.480000000003</v>
      </c>
    </row>
    <row r="22" spans="1:7" x14ac:dyDescent="0.25">
      <c r="A22" s="5">
        <v>45496</v>
      </c>
      <c r="B22" s="7" t="s">
        <v>8</v>
      </c>
      <c r="C22" s="7">
        <v>2024</v>
      </c>
      <c r="D22" s="2" t="s">
        <v>19</v>
      </c>
      <c r="E22" s="27"/>
      <c r="F22" s="27">
        <v>410</v>
      </c>
      <c r="G22" s="47">
        <f t="shared" si="0"/>
        <v>40186.480000000003</v>
      </c>
    </row>
    <row r="23" spans="1:7" x14ac:dyDescent="0.25">
      <c r="A23" s="5">
        <v>45496</v>
      </c>
      <c r="B23" s="7" t="s">
        <v>8</v>
      </c>
      <c r="C23" s="7">
        <v>2024</v>
      </c>
      <c r="D23" s="2" t="s">
        <v>19</v>
      </c>
      <c r="E23" s="27"/>
      <c r="F23" s="27">
        <v>480</v>
      </c>
      <c r="G23" s="47">
        <f t="shared" si="0"/>
        <v>39706.480000000003</v>
      </c>
    </row>
    <row r="24" spans="1:7" x14ac:dyDescent="0.25">
      <c r="A24" s="5">
        <v>45496</v>
      </c>
      <c r="B24" s="7" t="s">
        <v>8</v>
      </c>
      <c r="C24" s="7">
        <v>2024</v>
      </c>
      <c r="D24" s="2" t="s">
        <v>28</v>
      </c>
      <c r="E24" s="27"/>
      <c r="F24" s="27">
        <v>400</v>
      </c>
      <c r="G24" s="47">
        <f t="shared" si="0"/>
        <v>39306.480000000003</v>
      </c>
    </row>
    <row r="25" spans="1:7" x14ac:dyDescent="0.25">
      <c r="A25" s="5">
        <v>45496</v>
      </c>
      <c r="B25" s="7" t="s">
        <v>8</v>
      </c>
      <c r="C25" s="7">
        <v>2024</v>
      </c>
      <c r="D25" s="2" t="s">
        <v>30</v>
      </c>
      <c r="E25" s="27"/>
      <c r="F25" s="27">
        <v>260</v>
      </c>
      <c r="G25" s="47">
        <f t="shared" si="0"/>
        <v>39046.480000000003</v>
      </c>
    </row>
    <row r="26" spans="1:7" x14ac:dyDescent="0.25">
      <c r="A26" s="5">
        <v>45496</v>
      </c>
      <c r="B26" s="7" t="s">
        <v>8</v>
      </c>
      <c r="C26" s="7">
        <v>2024</v>
      </c>
      <c r="D26" s="2" t="s">
        <v>31</v>
      </c>
      <c r="E26" s="27"/>
      <c r="F26" s="27">
        <v>324</v>
      </c>
      <c r="G26" s="47">
        <f t="shared" si="0"/>
        <v>38722.480000000003</v>
      </c>
    </row>
    <row r="27" spans="1:7" x14ac:dyDescent="0.25">
      <c r="A27" s="5">
        <v>45496</v>
      </c>
      <c r="B27" s="7" t="s">
        <v>8</v>
      </c>
      <c r="C27" s="7">
        <v>2024</v>
      </c>
      <c r="D27" s="2" t="s">
        <v>32</v>
      </c>
      <c r="E27" s="27"/>
      <c r="F27" s="27">
        <v>350</v>
      </c>
      <c r="G27" s="47">
        <f t="shared" si="0"/>
        <v>38372.480000000003</v>
      </c>
    </row>
    <row r="28" spans="1:7" x14ac:dyDescent="0.25">
      <c r="A28" s="5">
        <v>45496</v>
      </c>
      <c r="B28" s="7" t="s">
        <v>8</v>
      </c>
      <c r="C28" s="7">
        <v>2024</v>
      </c>
      <c r="D28" s="2" t="s">
        <v>34</v>
      </c>
      <c r="E28" s="27"/>
      <c r="F28" s="27">
        <v>220</v>
      </c>
      <c r="G28" s="47">
        <f t="shared" si="0"/>
        <v>38152.480000000003</v>
      </c>
    </row>
    <row r="29" spans="1:7" x14ac:dyDescent="0.25">
      <c r="A29" s="5">
        <v>45496</v>
      </c>
      <c r="B29" s="7" t="s">
        <v>8</v>
      </c>
      <c r="C29" s="7">
        <v>2024</v>
      </c>
      <c r="D29" s="2" t="s">
        <v>35</v>
      </c>
      <c r="E29" s="27"/>
      <c r="F29" s="27">
        <v>1400</v>
      </c>
      <c r="G29" s="47">
        <f t="shared" si="0"/>
        <v>36752.480000000003</v>
      </c>
    </row>
    <row r="30" spans="1:7" x14ac:dyDescent="0.25">
      <c r="A30" s="5">
        <v>45496</v>
      </c>
      <c r="B30" s="7" t="s">
        <v>8</v>
      </c>
      <c r="C30" s="7">
        <v>2024</v>
      </c>
      <c r="D30" s="2" t="s">
        <v>36</v>
      </c>
      <c r="E30" s="27"/>
      <c r="F30" s="27">
        <v>2290</v>
      </c>
      <c r="G30" s="47">
        <f t="shared" si="0"/>
        <v>34462.480000000003</v>
      </c>
    </row>
    <row r="31" spans="1:7" x14ac:dyDescent="0.25">
      <c r="A31" s="5">
        <v>45496</v>
      </c>
      <c r="B31" s="7" t="s">
        <v>8</v>
      </c>
      <c r="C31" s="7">
        <v>2024</v>
      </c>
      <c r="D31" s="8" t="s">
        <v>28</v>
      </c>
      <c r="E31" s="9"/>
      <c r="F31" s="11">
        <v>330</v>
      </c>
      <c r="G31" s="47">
        <f t="shared" si="0"/>
        <v>34132.480000000003</v>
      </c>
    </row>
    <row r="32" spans="1:7" x14ac:dyDescent="0.25">
      <c r="A32" s="5">
        <v>45496</v>
      </c>
      <c r="B32" s="7" t="s">
        <v>8</v>
      </c>
      <c r="C32" s="7">
        <v>2024</v>
      </c>
      <c r="D32" s="8" t="s">
        <v>28</v>
      </c>
      <c r="E32" s="9"/>
      <c r="F32" s="11">
        <v>210</v>
      </c>
      <c r="G32" s="47">
        <f t="shared" si="0"/>
        <v>33922.480000000003</v>
      </c>
    </row>
    <row r="33" spans="1:7" x14ac:dyDescent="0.25">
      <c r="A33" s="5">
        <v>45496</v>
      </c>
      <c r="B33" s="7" t="s">
        <v>8</v>
      </c>
      <c r="C33" s="7">
        <v>2024</v>
      </c>
      <c r="D33" s="8" t="s">
        <v>28</v>
      </c>
      <c r="E33" s="9"/>
      <c r="F33" s="11">
        <v>170</v>
      </c>
      <c r="G33" s="47">
        <f t="shared" si="0"/>
        <v>33752.480000000003</v>
      </c>
    </row>
    <row r="34" spans="1:7" x14ac:dyDescent="0.25">
      <c r="A34" s="5">
        <v>45496</v>
      </c>
      <c r="B34" s="7" t="s">
        <v>8</v>
      </c>
      <c r="C34" s="7">
        <v>2024</v>
      </c>
      <c r="D34" s="8" t="s">
        <v>28</v>
      </c>
      <c r="E34" s="9"/>
      <c r="F34" s="11">
        <v>325</v>
      </c>
      <c r="G34" s="47">
        <f t="shared" si="0"/>
        <v>33427.480000000003</v>
      </c>
    </row>
    <row r="35" spans="1:7" x14ac:dyDescent="0.25">
      <c r="A35" s="5">
        <v>45496</v>
      </c>
      <c r="B35" s="7" t="s">
        <v>8</v>
      </c>
      <c r="C35" s="7">
        <v>2024</v>
      </c>
      <c r="D35" s="8" t="s">
        <v>28</v>
      </c>
      <c r="E35" s="9"/>
      <c r="F35" s="11">
        <v>120</v>
      </c>
      <c r="G35" s="47">
        <f t="shared" si="0"/>
        <v>33307.480000000003</v>
      </c>
    </row>
    <row r="36" spans="1:7" x14ac:dyDescent="0.25">
      <c r="A36" s="5">
        <v>45496</v>
      </c>
      <c r="B36" s="7" t="s">
        <v>8</v>
      </c>
      <c r="C36" s="7">
        <v>2024</v>
      </c>
      <c r="D36" s="8" t="s">
        <v>28</v>
      </c>
      <c r="E36" s="9"/>
      <c r="F36" s="11">
        <v>530</v>
      </c>
      <c r="G36" s="47">
        <f t="shared" ref="G36:G67" si="1">G35+E36-F36</f>
        <v>32777.480000000003</v>
      </c>
    </row>
    <row r="37" spans="1:7" x14ac:dyDescent="0.25">
      <c r="A37" s="5">
        <v>45496</v>
      </c>
      <c r="B37" s="7" t="s">
        <v>8</v>
      </c>
      <c r="C37" s="7">
        <v>2024</v>
      </c>
      <c r="D37" s="8" t="s">
        <v>28</v>
      </c>
      <c r="E37" s="9"/>
      <c r="F37" s="11">
        <v>250</v>
      </c>
      <c r="G37" s="47">
        <f t="shared" si="1"/>
        <v>32527.480000000003</v>
      </c>
    </row>
    <row r="38" spans="1:7" x14ac:dyDescent="0.25">
      <c r="A38" s="5">
        <v>45496</v>
      </c>
      <c r="B38" s="7" t="s">
        <v>8</v>
      </c>
      <c r="C38" s="7">
        <v>2024</v>
      </c>
      <c r="D38" s="8" t="s">
        <v>28</v>
      </c>
      <c r="E38" s="9"/>
      <c r="F38" s="11">
        <v>460</v>
      </c>
      <c r="G38" s="47">
        <f t="shared" si="1"/>
        <v>32067.480000000003</v>
      </c>
    </row>
    <row r="39" spans="1:7" x14ac:dyDescent="0.25">
      <c r="A39" s="5">
        <v>45496</v>
      </c>
      <c r="B39" s="7" t="s">
        <v>8</v>
      </c>
      <c r="C39" s="7">
        <v>2024</v>
      </c>
      <c r="D39" s="8" t="s">
        <v>28</v>
      </c>
      <c r="E39" s="9"/>
      <c r="F39" s="11">
        <v>340</v>
      </c>
      <c r="G39" s="47">
        <f t="shared" si="1"/>
        <v>31727.480000000003</v>
      </c>
    </row>
    <row r="40" spans="1:7" x14ac:dyDescent="0.25">
      <c r="A40" s="5">
        <v>45496</v>
      </c>
      <c r="B40" s="7" t="s">
        <v>8</v>
      </c>
      <c r="C40" s="7">
        <v>2024</v>
      </c>
      <c r="D40" s="8" t="s">
        <v>28</v>
      </c>
      <c r="E40" s="9"/>
      <c r="F40" s="13">
        <v>250</v>
      </c>
      <c r="G40" s="47">
        <f t="shared" si="1"/>
        <v>31477.480000000003</v>
      </c>
    </row>
    <row r="41" spans="1:7" x14ac:dyDescent="0.25">
      <c r="A41" s="5">
        <v>45496</v>
      </c>
      <c r="B41" s="7" t="s">
        <v>8</v>
      </c>
      <c r="C41" s="7">
        <v>2024</v>
      </c>
      <c r="D41" s="8" t="s">
        <v>28</v>
      </c>
      <c r="E41" s="9"/>
      <c r="F41" s="9">
        <v>275</v>
      </c>
      <c r="G41" s="47">
        <f t="shared" si="1"/>
        <v>31202.480000000003</v>
      </c>
    </row>
    <row r="42" spans="1:7" x14ac:dyDescent="0.25">
      <c r="A42" s="5">
        <v>45496</v>
      </c>
      <c r="B42" s="7" t="s">
        <v>8</v>
      </c>
      <c r="C42" s="7">
        <v>2024</v>
      </c>
      <c r="D42" s="8" t="s">
        <v>28</v>
      </c>
      <c r="E42" s="9"/>
      <c r="F42" s="9">
        <v>290</v>
      </c>
      <c r="G42" s="47">
        <f t="shared" si="1"/>
        <v>30912.480000000003</v>
      </c>
    </row>
    <row r="43" spans="1:7" x14ac:dyDescent="0.25">
      <c r="A43" s="5">
        <v>45496</v>
      </c>
      <c r="B43" s="7" t="s">
        <v>8</v>
      </c>
      <c r="C43" s="7">
        <v>2024</v>
      </c>
      <c r="D43" s="8" t="s">
        <v>32</v>
      </c>
      <c r="E43" s="9"/>
      <c r="F43" s="9">
        <v>360</v>
      </c>
      <c r="G43" s="47">
        <f t="shared" si="1"/>
        <v>30552.480000000003</v>
      </c>
    </row>
    <row r="44" spans="1:7" x14ac:dyDescent="0.25">
      <c r="A44" s="5">
        <v>45503</v>
      </c>
      <c r="B44" s="7" t="s">
        <v>8</v>
      </c>
      <c r="C44" s="7">
        <v>2024</v>
      </c>
      <c r="D44" s="8" t="s">
        <v>37</v>
      </c>
      <c r="E44" s="9"/>
      <c r="F44" s="9">
        <v>1045</v>
      </c>
      <c r="G44" s="47">
        <f t="shared" si="1"/>
        <v>29507.480000000003</v>
      </c>
    </row>
    <row r="45" spans="1:7" x14ac:dyDescent="0.25">
      <c r="A45" s="5">
        <v>45503</v>
      </c>
      <c r="B45" s="7" t="s">
        <v>8</v>
      </c>
      <c r="C45" s="7">
        <v>2024</v>
      </c>
      <c r="D45" s="10" t="s">
        <v>38</v>
      </c>
      <c r="E45" s="9"/>
      <c r="F45" s="13">
        <v>175</v>
      </c>
      <c r="G45" s="47">
        <f t="shared" si="1"/>
        <v>29332.480000000003</v>
      </c>
    </row>
    <row r="46" spans="1:7" x14ac:dyDescent="0.25">
      <c r="A46" s="5">
        <v>45503</v>
      </c>
      <c r="B46" s="7" t="s">
        <v>8</v>
      </c>
      <c r="C46" s="7">
        <v>2024</v>
      </c>
      <c r="D46" s="10" t="s">
        <v>39</v>
      </c>
      <c r="E46" s="9"/>
      <c r="F46" s="13">
        <v>50</v>
      </c>
      <c r="G46" s="47">
        <f t="shared" si="1"/>
        <v>29282.480000000003</v>
      </c>
    </row>
    <row r="47" spans="1:7" x14ac:dyDescent="0.25">
      <c r="A47" s="5">
        <v>45503</v>
      </c>
      <c r="B47" s="7" t="s">
        <v>8</v>
      </c>
      <c r="C47" s="7">
        <v>2024</v>
      </c>
      <c r="D47" s="10" t="s">
        <v>40</v>
      </c>
      <c r="E47" s="9"/>
      <c r="F47" s="13">
        <v>1200</v>
      </c>
      <c r="G47" s="47">
        <f t="shared" si="1"/>
        <v>28082.480000000003</v>
      </c>
    </row>
    <row r="48" spans="1:7" x14ac:dyDescent="0.25">
      <c r="A48" s="5">
        <v>45503</v>
      </c>
      <c r="B48" s="7" t="s">
        <v>8</v>
      </c>
      <c r="C48" s="7">
        <v>2024</v>
      </c>
      <c r="D48" s="10" t="s">
        <v>41</v>
      </c>
      <c r="E48" s="9"/>
      <c r="F48" s="13">
        <v>85</v>
      </c>
      <c r="G48" s="47">
        <f t="shared" si="1"/>
        <v>27997.480000000003</v>
      </c>
    </row>
    <row r="49" spans="1:7" x14ac:dyDescent="0.25">
      <c r="A49" s="5">
        <v>45503</v>
      </c>
      <c r="B49" s="7" t="s">
        <v>8</v>
      </c>
      <c r="C49" s="7">
        <v>2024</v>
      </c>
      <c r="D49" s="8" t="s">
        <v>42</v>
      </c>
      <c r="E49" s="9"/>
      <c r="F49" s="11">
        <v>90</v>
      </c>
      <c r="G49" s="47">
        <f t="shared" si="1"/>
        <v>27907.480000000003</v>
      </c>
    </row>
    <row r="50" spans="1:7" x14ac:dyDescent="0.25">
      <c r="A50" s="5">
        <v>45503</v>
      </c>
      <c r="B50" s="7" t="s">
        <v>8</v>
      </c>
      <c r="C50" s="7">
        <v>2024</v>
      </c>
      <c r="D50" s="10" t="s">
        <v>43</v>
      </c>
      <c r="E50" s="9"/>
      <c r="F50" s="13">
        <v>143</v>
      </c>
      <c r="G50" s="47">
        <f t="shared" si="1"/>
        <v>27764.480000000003</v>
      </c>
    </row>
    <row r="51" spans="1:7" x14ac:dyDescent="0.25">
      <c r="A51" s="5">
        <v>45503</v>
      </c>
      <c r="B51" s="7" t="s">
        <v>8</v>
      </c>
      <c r="C51" s="7">
        <v>2024</v>
      </c>
      <c r="D51" s="8" t="s">
        <v>44</v>
      </c>
      <c r="E51" s="9"/>
      <c r="F51" s="9">
        <v>600</v>
      </c>
      <c r="G51" s="47">
        <f t="shared" si="1"/>
        <v>27164.480000000003</v>
      </c>
    </row>
    <row r="52" spans="1:7" x14ac:dyDescent="0.25">
      <c r="A52" s="5">
        <v>45503</v>
      </c>
      <c r="B52" s="7" t="s">
        <v>8</v>
      </c>
      <c r="C52" s="7">
        <v>2024</v>
      </c>
      <c r="D52" s="8" t="s">
        <v>45</v>
      </c>
      <c r="E52" s="9"/>
      <c r="F52" s="9">
        <v>150</v>
      </c>
      <c r="G52" s="47">
        <f t="shared" si="1"/>
        <v>27014.480000000003</v>
      </c>
    </row>
    <row r="53" spans="1:7" x14ac:dyDescent="0.25">
      <c r="A53" s="5">
        <v>45503</v>
      </c>
      <c r="B53" s="7" t="s">
        <v>8</v>
      </c>
      <c r="C53" s="7">
        <v>2024</v>
      </c>
      <c r="D53" s="8" t="s">
        <v>34</v>
      </c>
      <c r="E53" s="9"/>
      <c r="F53" s="11">
        <v>1500</v>
      </c>
      <c r="G53" s="47">
        <f t="shared" si="1"/>
        <v>25514.480000000003</v>
      </c>
    </row>
    <row r="54" spans="1:7" x14ac:dyDescent="0.25">
      <c r="A54" s="5">
        <v>45503</v>
      </c>
      <c r="B54" s="7" t="s">
        <v>8</v>
      </c>
      <c r="C54" s="7">
        <v>2024</v>
      </c>
      <c r="D54" s="8" t="s">
        <v>27</v>
      </c>
      <c r="E54" s="9"/>
      <c r="F54" s="9">
        <v>365</v>
      </c>
      <c r="G54" s="47">
        <f t="shared" si="1"/>
        <v>25149.480000000003</v>
      </c>
    </row>
    <row r="55" spans="1:7" x14ac:dyDescent="0.25">
      <c r="A55" s="5">
        <v>45503</v>
      </c>
      <c r="B55" s="7" t="s">
        <v>8</v>
      </c>
      <c r="C55" s="7">
        <v>2024</v>
      </c>
      <c r="D55" s="8" t="s">
        <v>46</v>
      </c>
      <c r="E55" s="9"/>
      <c r="F55" s="9">
        <v>65</v>
      </c>
      <c r="G55" s="47">
        <f t="shared" si="1"/>
        <v>25084.480000000003</v>
      </c>
    </row>
    <row r="56" spans="1:7" x14ac:dyDescent="0.25">
      <c r="A56" s="5">
        <v>45503</v>
      </c>
      <c r="B56" s="7" t="s">
        <v>8</v>
      </c>
      <c r="C56" s="7">
        <v>2024</v>
      </c>
      <c r="D56" s="8" t="s">
        <v>47</v>
      </c>
      <c r="E56" s="9"/>
      <c r="F56" s="9">
        <v>400</v>
      </c>
      <c r="G56" s="47">
        <f t="shared" si="1"/>
        <v>24684.480000000003</v>
      </c>
    </row>
    <row r="57" spans="1:7" x14ac:dyDescent="0.25">
      <c r="A57" s="5">
        <v>45503</v>
      </c>
      <c r="B57" s="7" t="s">
        <v>8</v>
      </c>
      <c r="C57" s="7">
        <v>2024</v>
      </c>
      <c r="D57" s="10" t="s">
        <v>30</v>
      </c>
      <c r="E57" s="9"/>
      <c r="F57" s="13">
        <v>110</v>
      </c>
      <c r="G57" s="47">
        <f t="shared" si="1"/>
        <v>24574.480000000003</v>
      </c>
    </row>
    <row r="58" spans="1:7" x14ac:dyDescent="0.25">
      <c r="A58" s="5">
        <v>45503</v>
      </c>
      <c r="B58" s="7" t="s">
        <v>8</v>
      </c>
      <c r="C58" s="7">
        <v>2024</v>
      </c>
      <c r="D58" s="10" t="s">
        <v>30</v>
      </c>
      <c r="E58" s="9"/>
      <c r="F58" s="13">
        <v>180</v>
      </c>
      <c r="G58" s="47">
        <f t="shared" si="1"/>
        <v>24394.480000000003</v>
      </c>
    </row>
    <row r="59" spans="1:7" x14ac:dyDescent="0.25">
      <c r="A59" s="5">
        <v>45503</v>
      </c>
      <c r="B59" s="7" t="s">
        <v>8</v>
      </c>
      <c r="C59" s="7">
        <v>2024</v>
      </c>
      <c r="D59" s="10" t="s">
        <v>30</v>
      </c>
      <c r="E59" s="9"/>
      <c r="F59" s="13">
        <v>160</v>
      </c>
      <c r="G59" s="47">
        <f t="shared" si="1"/>
        <v>24234.480000000003</v>
      </c>
    </row>
    <row r="60" spans="1:7" x14ac:dyDescent="0.25">
      <c r="A60" s="5">
        <v>45503</v>
      </c>
      <c r="B60" s="7" t="s">
        <v>8</v>
      </c>
      <c r="C60" s="7">
        <v>2024</v>
      </c>
      <c r="D60" s="10" t="s">
        <v>48</v>
      </c>
      <c r="E60" s="9"/>
      <c r="F60" s="13">
        <v>870</v>
      </c>
      <c r="G60" s="47">
        <f t="shared" si="1"/>
        <v>23364.480000000003</v>
      </c>
    </row>
    <row r="61" spans="1:7" x14ac:dyDescent="0.25">
      <c r="A61" s="5">
        <v>45503</v>
      </c>
      <c r="B61" s="7" t="s">
        <v>8</v>
      </c>
      <c r="C61" s="7">
        <v>2024</v>
      </c>
      <c r="D61" s="10" t="s">
        <v>49</v>
      </c>
      <c r="E61" s="9"/>
      <c r="F61" s="13">
        <v>1290</v>
      </c>
      <c r="G61" s="47">
        <f t="shared" si="1"/>
        <v>22074.480000000003</v>
      </c>
    </row>
    <row r="62" spans="1:7" x14ac:dyDescent="0.25">
      <c r="A62" s="5">
        <v>45503</v>
      </c>
      <c r="B62" s="7" t="s">
        <v>8</v>
      </c>
      <c r="C62" s="7">
        <v>2024</v>
      </c>
      <c r="D62" s="10" t="s">
        <v>50</v>
      </c>
      <c r="E62" s="9"/>
      <c r="F62" s="13">
        <v>360</v>
      </c>
      <c r="G62" s="47">
        <f t="shared" si="1"/>
        <v>21714.480000000003</v>
      </c>
    </row>
    <row r="63" spans="1:7" x14ac:dyDescent="0.25">
      <c r="A63" s="5">
        <v>45503</v>
      </c>
      <c r="B63" s="7" t="s">
        <v>8</v>
      </c>
      <c r="C63" s="7">
        <v>2024</v>
      </c>
      <c r="D63" s="10" t="s">
        <v>32</v>
      </c>
      <c r="E63" s="9"/>
      <c r="F63" s="13">
        <v>200</v>
      </c>
      <c r="G63" s="47">
        <f t="shared" si="1"/>
        <v>21514.480000000003</v>
      </c>
    </row>
    <row r="64" spans="1:7" x14ac:dyDescent="0.25">
      <c r="A64" s="5">
        <v>45503</v>
      </c>
      <c r="B64" s="7" t="s">
        <v>8</v>
      </c>
      <c r="C64" s="7">
        <v>2024</v>
      </c>
      <c r="D64" s="10" t="s">
        <v>51</v>
      </c>
      <c r="E64" s="9"/>
      <c r="F64" s="13">
        <v>130</v>
      </c>
      <c r="G64" s="47">
        <f t="shared" si="1"/>
        <v>21384.480000000003</v>
      </c>
    </row>
    <row r="65" spans="1:7" x14ac:dyDescent="0.25">
      <c r="A65" s="5">
        <v>45503</v>
      </c>
      <c r="B65" s="7" t="s">
        <v>8</v>
      </c>
      <c r="C65" s="7">
        <v>2024</v>
      </c>
      <c r="D65" s="10" t="s">
        <v>52</v>
      </c>
      <c r="E65" s="9"/>
      <c r="F65" s="9">
        <v>350</v>
      </c>
      <c r="G65" s="47">
        <f t="shared" si="1"/>
        <v>21034.480000000003</v>
      </c>
    </row>
    <row r="66" spans="1:7" x14ac:dyDescent="0.25">
      <c r="A66" s="5">
        <v>45503</v>
      </c>
      <c r="B66" s="7" t="s">
        <v>8</v>
      </c>
      <c r="C66" s="7">
        <v>2024</v>
      </c>
      <c r="D66" s="10" t="s">
        <v>53</v>
      </c>
      <c r="E66" s="9"/>
      <c r="F66" s="13">
        <v>395</v>
      </c>
      <c r="G66" s="47">
        <f t="shared" si="1"/>
        <v>20639.480000000003</v>
      </c>
    </row>
    <row r="67" spans="1:7" x14ac:dyDescent="0.25">
      <c r="A67" s="5">
        <v>45503</v>
      </c>
      <c r="B67" s="7" t="s">
        <v>8</v>
      </c>
      <c r="C67" s="7">
        <v>2024</v>
      </c>
      <c r="D67" s="10" t="s">
        <v>55</v>
      </c>
      <c r="E67" s="9"/>
      <c r="F67" s="13">
        <v>500</v>
      </c>
      <c r="G67" s="47">
        <f t="shared" si="1"/>
        <v>20139.480000000003</v>
      </c>
    </row>
    <row r="68" spans="1:7" x14ac:dyDescent="0.25">
      <c r="A68" s="5">
        <v>45503</v>
      </c>
      <c r="B68" s="7" t="s">
        <v>8</v>
      </c>
      <c r="C68" s="7">
        <v>2024</v>
      </c>
      <c r="D68" s="10" t="s">
        <v>54</v>
      </c>
      <c r="E68" s="9"/>
      <c r="F68" s="13">
        <v>262</v>
      </c>
      <c r="G68" s="47">
        <f t="shared" ref="G68:G134" si="2">G67+E68-F68</f>
        <v>19877.480000000003</v>
      </c>
    </row>
    <row r="69" spans="1:7" x14ac:dyDescent="0.25">
      <c r="A69" s="5">
        <v>45503</v>
      </c>
      <c r="B69" s="7" t="s">
        <v>8</v>
      </c>
      <c r="C69" s="7">
        <v>2024</v>
      </c>
      <c r="D69" s="10" t="s">
        <v>56</v>
      </c>
      <c r="E69" s="9"/>
      <c r="F69" s="13">
        <v>160</v>
      </c>
      <c r="G69" s="47">
        <f t="shared" si="2"/>
        <v>19717.480000000003</v>
      </c>
    </row>
    <row r="70" spans="1:7" x14ac:dyDescent="0.25">
      <c r="A70" s="5">
        <v>45503</v>
      </c>
      <c r="B70" s="7" t="s">
        <v>8</v>
      </c>
      <c r="C70" s="7">
        <v>2024</v>
      </c>
      <c r="D70" s="10" t="s">
        <v>57</v>
      </c>
      <c r="E70" s="9"/>
      <c r="F70" s="13">
        <v>23.5</v>
      </c>
      <c r="G70" s="47">
        <f t="shared" si="2"/>
        <v>19693.980000000003</v>
      </c>
    </row>
    <row r="71" spans="1:7" x14ac:dyDescent="0.25">
      <c r="A71" s="5">
        <v>45503</v>
      </c>
      <c r="B71" s="7" t="s">
        <v>8</v>
      </c>
      <c r="C71" s="7">
        <v>2024</v>
      </c>
      <c r="D71" s="10" t="s">
        <v>58</v>
      </c>
      <c r="E71" s="9"/>
      <c r="F71" s="13">
        <v>1500</v>
      </c>
      <c r="G71" s="47">
        <f t="shared" si="2"/>
        <v>18193.980000000003</v>
      </c>
    </row>
    <row r="72" spans="1:7" x14ac:dyDescent="0.25">
      <c r="A72" s="5">
        <v>45509</v>
      </c>
      <c r="B72" s="22" t="s">
        <v>59</v>
      </c>
      <c r="C72" s="22">
        <v>2024</v>
      </c>
      <c r="D72" s="41" t="s">
        <v>67</v>
      </c>
      <c r="E72" s="28">
        <v>80000</v>
      </c>
      <c r="F72" s="13"/>
      <c r="G72" s="47">
        <f t="shared" si="2"/>
        <v>98193.98000000001</v>
      </c>
    </row>
    <row r="73" spans="1:7" x14ac:dyDescent="0.25">
      <c r="A73" s="5">
        <v>45510</v>
      </c>
      <c r="B73" s="30" t="s">
        <v>59</v>
      </c>
      <c r="C73" s="30">
        <v>2024</v>
      </c>
      <c r="D73" s="10" t="s">
        <v>60</v>
      </c>
      <c r="E73" s="9"/>
      <c r="F73" s="13">
        <v>60000</v>
      </c>
      <c r="G73" s="47">
        <f t="shared" si="2"/>
        <v>38193.98000000001</v>
      </c>
    </row>
    <row r="74" spans="1:7" x14ac:dyDescent="0.25">
      <c r="A74" s="5">
        <v>45510</v>
      </c>
      <c r="B74" s="30" t="s">
        <v>59</v>
      </c>
      <c r="C74" s="30">
        <v>2024</v>
      </c>
      <c r="D74" s="10" t="s">
        <v>19</v>
      </c>
      <c r="E74" s="9"/>
      <c r="F74" s="13">
        <v>450</v>
      </c>
      <c r="G74" s="47">
        <f t="shared" si="2"/>
        <v>37743.98000000001</v>
      </c>
    </row>
    <row r="75" spans="1:7" x14ac:dyDescent="0.25">
      <c r="A75" s="5">
        <v>45510</v>
      </c>
      <c r="B75" s="30" t="s">
        <v>59</v>
      </c>
      <c r="C75" s="30">
        <v>2024</v>
      </c>
      <c r="D75" s="10" t="s">
        <v>61</v>
      </c>
      <c r="E75" s="9"/>
      <c r="F75" s="13">
        <v>141</v>
      </c>
      <c r="G75" s="47">
        <f t="shared" si="2"/>
        <v>37602.98000000001</v>
      </c>
    </row>
    <row r="76" spans="1:7" x14ac:dyDescent="0.25">
      <c r="A76" s="5">
        <v>45510</v>
      </c>
      <c r="B76" s="30" t="s">
        <v>59</v>
      </c>
      <c r="C76" s="30">
        <v>2024</v>
      </c>
      <c r="D76" s="10" t="s">
        <v>62</v>
      </c>
      <c r="E76" s="9"/>
      <c r="F76" s="13">
        <v>150</v>
      </c>
      <c r="G76" s="47">
        <f t="shared" si="2"/>
        <v>37452.98000000001</v>
      </c>
    </row>
    <row r="77" spans="1:7" x14ac:dyDescent="0.25">
      <c r="A77" s="5">
        <v>45510</v>
      </c>
      <c r="B77" s="30" t="s">
        <v>59</v>
      </c>
      <c r="C77" s="30">
        <v>2024</v>
      </c>
      <c r="D77" s="10" t="s">
        <v>63</v>
      </c>
      <c r="E77" s="9"/>
      <c r="F77" s="13">
        <v>800</v>
      </c>
      <c r="G77" s="47">
        <f t="shared" si="2"/>
        <v>36652.98000000001</v>
      </c>
    </row>
    <row r="78" spans="1:7" x14ac:dyDescent="0.25">
      <c r="A78" s="5">
        <v>45510</v>
      </c>
      <c r="B78" s="30" t="s">
        <v>59</v>
      </c>
      <c r="C78" s="30">
        <v>2024</v>
      </c>
      <c r="D78" s="10" t="s">
        <v>64</v>
      </c>
      <c r="E78" s="9"/>
      <c r="F78" s="13">
        <v>300</v>
      </c>
      <c r="G78" s="47">
        <f t="shared" si="2"/>
        <v>36352.98000000001</v>
      </c>
    </row>
    <row r="79" spans="1:7" x14ac:dyDescent="0.25">
      <c r="A79" s="5">
        <v>45510</v>
      </c>
      <c r="B79" s="30" t="s">
        <v>59</v>
      </c>
      <c r="C79" s="30">
        <v>2024</v>
      </c>
      <c r="D79" s="10" t="s">
        <v>20</v>
      </c>
      <c r="E79" s="9"/>
      <c r="F79" s="13">
        <v>120</v>
      </c>
      <c r="G79" s="47">
        <f t="shared" si="2"/>
        <v>36232.98000000001</v>
      </c>
    </row>
    <row r="80" spans="1:7" x14ac:dyDescent="0.25">
      <c r="A80" s="5">
        <v>45510</v>
      </c>
      <c r="B80" s="30" t="s">
        <v>59</v>
      </c>
      <c r="C80" s="30">
        <v>2024</v>
      </c>
      <c r="D80" s="10" t="s">
        <v>65</v>
      </c>
      <c r="E80" s="9"/>
      <c r="F80" s="13">
        <v>165</v>
      </c>
      <c r="G80" s="47">
        <f t="shared" si="2"/>
        <v>36067.98000000001</v>
      </c>
    </row>
    <row r="81" spans="1:7" x14ac:dyDescent="0.25">
      <c r="A81" s="5">
        <v>45510</v>
      </c>
      <c r="B81" s="30" t="s">
        <v>59</v>
      </c>
      <c r="C81" s="30">
        <v>2024</v>
      </c>
      <c r="D81" s="10" t="s">
        <v>57</v>
      </c>
      <c r="E81" s="9"/>
      <c r="F81" s="13">
        <v>200</v>
      </c>
      <c r="G81" s="47">
        <f t="shared" si="2"/>
        <v>35867.98000000001</v>
      </c>
    </row>
    <row r="82" spans="1:7" x14ac:dyDescent="0.25">
      <c r="A82" s="5">
        <v>45510</v>
      </c>
      <c r="B82" s="30" t="s">
        <v>59</v>
      </c>
      <c r="C82" s="30">
        <v>2024</v>
      </c>
      <c r="D82" s="10" t="s">
        <v>61</v>
      </c>
      <c r="E82" s="9"/>
      <c r="F82" s="13">
        <v>350</v>
      </c>
      <c r="G82" s="47">
        <f t="shared" si="2"/>
        <v>35517.98000000001</v>
      </c>
    </row>
    <row r="83" spans="1:7" x14ac:dyDescent="0.25">
      <c r="A83" s="5">
        <v>45510</v>
      </c>
      <c r="B83" s="30" t="s">
        <v>59</v>
      </c>
      <c r="C83" s="30">
        <v>2024</v>
      </c>
      <c r="D83" s="10" t="s">
        <v>66</v>
      </c>
      <c r="E83" s="9"/>
      <c r="F83" s="13">
        <v>400</v>
      </c>
      <c r="G83" s="47">
        <f t="shared" si="2"/>
        <v>35117.98000000001</v>
      </c>
    </row>
    <row r="84" spans="1:7" x14ac:dyDescent="0.25">
      <c r="A84" s="5">
        <v>45510</v>
      </c>
      <c r="B84" s="30" t="s">
        <v>59</v>
      </c>
      <c r="C84" s="30">
        <v>2024</v>
      </c>
      <c r="D84" s="10" t="s">
        <v>61</v>
      </c>
      <c r="E84" s="9"/>
      <c r="F84" s="13">
        <v>98</v>
      </c>
      <c r="G84" s="47">
        <f t="shared" si="2"/>
        <v>35019.98000000001</v>
      </c>
    </row>
    <row r="85" spans="1:7" x14ac:dyDescent="0.25">
      <c r="A85" s="5">
        <v>45517</v>
      </c>
      <c r="B85" s="30" t="s">
        <v>59</v>
      </c>
      <c r="C85" s="30">
        <v>2024</v>
      </c>
      <c r="D85" s="10" t="s">
        <v>68</v>
      </c>
      <c r="E85" s="9"/>
      <c r="F85" s="13">
        <v>5000</v>
      </c>
      <c r="G85" s="47">
        <f t="shared" si="2"/>
        <v>30019.98000000001</v>
      </c>
    </row>
    <row r="86" spans="1:7" x14ac:dyDescent="0.25">
      <c r="A86" s="5">
        <v>45517</v>
      </c>
      <c r="B86" s="30" t="s">
        <v>59</v>
      </c>
      <c r="C86" s="30">
        <v>2024</v>
      </c>
      <c r="D86" s="10" t="s">
        <v>69</v>
      </c>
      <c r="E86" s="9"/>
      <c r="F86" s="13">
        <v>3000</v>
      </c>
      <c r="G86" s="47">
        <f t="shared" si="2"/>
        <v>27019.98000000001</v>
      </c>
    </row>
    <row r="87" spans="1:7" x14ac:dyDescent="0.25">
      <c r="A87" s="5">
        <v>45517</v>
      </c>
      <c r="B87" s="30" t="s">
        <v>59</v>
      </c>
      <c r="C87" s="30">
        <v>2024</v>
      </c>
      <c r="D87" s="10" t="s">
        <v>70</v>
      </c>
      <c r="E87" s="9"/>
      <c r="F87" s="13">
        <v>750</v>
      </c>
      <c r="G87" s="47">
        <f t="shared" si="2"/>
        <v>26269.98000000001</v>
      </c>
    </row>
    <row r="88" spans="1:7" x14ac:dyDescent="0.25">
      <c r="A88" s="5">
        <v>45517</v>
      </c>
      <c r="B88" s="30" t="s">
        <v>59</v>
      </c>
      <c r="C88" s="30">
        <v>2024</v>
      </c>
      <c r="D88" s="10" t="s">
        <v>71</v>
      </c>
      <c r="E88" s="9"/>
      <c r="F88" s="13">
        <v>191</v>
      </c>
      <c r="G88" s="47">
        <f t="shared" si="2"/>
        <v>26078.98000000001</v>
      </c>
    </row>
    <row r="89" spans="1:7" x14ac:dyDescent="0.25">
      <c r="A89" s="5">
        <v>45517</v>
      </c>
      <c r="B89" s="30" t="s">
        <v>59</v>
      </c>
      <c r="C89" s="30">
        <v>2024</v>
      </c>
      <c r="D89" s="10" t="s">
        <v>27</v>
      </c>
      <c r="E89" s="9"/>
      <c r="F89" s="13">
        <v>170</v>
      </c>
      <c r="G89" s="47">
        <f t="shared" si="2"/>
        <v>25908.98000000001</v>
      </c>
    </row>
    <row r="90" spans="1:7" x14ac:dyDescent="0.25">
      <c r="A90" s="5">
        <v>45517</v>
      </c>
      <c r="B90" s="30" t="s">
        <v>59</v>
      </c>
      <c r="C90" s="30">
        <v>2024</v>
      </c>
      <c r="D90" s="10" t="s">
        <v>72</v>
      </c>
      <c r="E90" s="9"/>
      <c r="F90" s="13">
        <v>665</v>
      </c>
      <c r="G90" s="47">
        <f t="shared" si="2"/>
        <v>25243.98000000001</v>
      </c>
    </row>
    <row r="91" spans="1:7" x14ac:dyDescent="0.25">
      <c r="A91" s="5">
        <v>45517</v>
      </c>
      <c r="B91" s="30" t="s">
        <v>59</v>
      </c>
      <c r="C91" s="30">
        <v>2024</v>
      </c>
      <c r="D91" s="10" t="s">
        <v>73</v>
      </c>
      <c r="E91" s="9"/>
      <c r="F91" s="13">
        <v>230</v>
      </c>
      <c r="G91" s="47">
        <f t="shared" si="2"/>
        <v>25013.98000000001</v>
      </c>
    </row>
    <row r="92" spans="1:7" x14ac:dyDescent="0.25">
      <c r="A92" s="5">
        <v>45517</v>
      </c>
      <c r="B92" s="30" t="s">
        <v>59</v>
      </c>
      <c r="C92" s="30">
        <v>2024</v>
      </c>
      <c r="D92" s="10" t="s">
        <v>72</v>
      </c>
      <c r="E92" s="9"/>
      <c r="F92" s="13">
        <v>200</v>
      </c>
      <c r="G92" s="47">
        <f t="shared" si="2"/>
        <v>24813.98000000001</v>
      </c>
    </row>
    <row r="93" spans="1:7" x14ac:dyDescent="0.25">
      <c r="A93" s="5">
        <v>45517</v>
      </c>
      <c r="B93" s="30" t="s">
        <v>59</v>
      </c>
      <c r="C93" s="30">
        <v>2024</v>
      </c>
      <c r="D93" s="10" t="s">
        <v>74</v>
      </c>
      <c r="E93" s="9"/>
      <c r="F93" s="13">
        <v>500</v>
      </c>
      <c r="G93" s="47">
        <f t="shared" si="2"/>
        <v>24313.98000000001</v>
      </c>
    </row>
    <row r="94" spans="1:7" x14ac:dyDescent="0.25">
      <c r="A94" s="5">
        <v>45517</v>
      </c>
      <c r="B94" s="30" t="s">
        <v>59</v>
      </c>
      <c r="C94" s="30">
        <v>2024</v>
      </c>
      <c r="D94" s="10" t="s">
        <v>74</v>
      </c>
      <c r="E94" s="9"/>
      <c r="F94" s="13">
        <v>200</v>
      </c>
      <c r="G94" s="47">
        <f t="shared" si="2"/>
        <v>24113.98000000001</v>
      </c>
    </row>
    <row r="95" spans="1:7" x14ac:dyDescent="0.25">
      <c r="A95" s="5">
        <v>45517</v>
      </c>
      <c r="B95" s="30" t="s">
        <v>59</v>
      </c>
      <c r="C95" s="30">
        <v>2024</v>
      </c>
      <c r="D95" s="10" t="s">
        <v>75</v>
      </c>
      <c r="E95" s="9"/>
      <c r="F95" s="13">
        <v>180</v>
      </c>
      <c r="G95" s="47">
        <f t="shared" si="2"/>
        <v>23933.98000000001</v>
      </c>
    </row>
    <row r="96" spans="1:7" x14ac:dyDescent="0.25">
      <c r="A96" s="5">
        <v>45517</v>
      </c>
      <c r="B96" s="30" t="s">
        <v>59</v>
      </c>
      <c r="C96" s="30">
        <v>2024</v>
      </c>
      <c r="D96" s="10" t="s">
        <v>76</v>
      </c>
      <c r="E96" s="9"/>
      <c r="F96" s="13">
        <v>80</v>
      </c>
      <c r="G96" s="47">
        <f t="shared" si="2"/>
        <v>23853.98000000001</v>
      </c>
    </row>
    <row r="97" spans="1:7" x14ac:dyDescent="0.25">
      <c r="A97" s="5">
        <v>45517</v>
      </c>
      <c r="B97" s="30" t="s">
        <v>59</v>
      </c>
      <c r="C97" s="30">
        <v>2024</v>
      </c>
      <c r="D97" s="10" t="s">
        <v>77</v>
      </c>
      <c r="E97" s="9"/>
      <c r="F97" s="13">
        <v>122.5</v>
      </c>
      <c r="G97" s="47">
        <f t="shared" si="2"/>
        <v>23731.48000000001</v>
      </c>
    </row>
    <row r="98" spans="1:7" x14ac:dyDescent="0.25">
      <c r="A98" s="5">
        <v>45517</v>
      </c>
      <c r="B98" s="30" t="s">
        <v>59</v>
      </c>
      <c r="C98" s="30">
        <v>2024</v>
      </c>
      <c r="D98" s="10" t="s">
        <v>78</v>
      </c>
      <c r="E98" s="9"/>
      <c r="F98" s="13">
        <v>1785</v>
      </c>
      <c r="G98" s="47">
        <f t="shared" si="2"/>
        <v>21946.48000000001</v>
      </c>
    </row>
    <row r="99" spans="1:7" x14ac:dyDescent="0.25">
      <c r="A99" s="5">
        <v>45517</v>
      </c>
      <c r="B99" s="30" t="s">
        <v>59</v>
      </c>
      <c r="C99" s="30">
        <v>2024</v>
      </c>
      <c r="D99" s="10" t="s">
        <v>79</v>
      </c>
      <c r="E99" s="9"/>
      <c r="F99" s="13">
        <v>2500</v>
      </c>
      <c r="G99" s="47">
        <f t="shared" si="2"/>
        <v>19446.48000000001</v>
      </c>
    </row>
    <row r="100" spans="1:7" x14ac:dyDescent="0.25">
      <c r="A100" s="5">
        <v>45517</v>
      </c>
      <c r="B100" s="30" t="s">
        <v>59</v>
      </c>
      <c r="C100" s="30">
        <v>2024</v>
      </c>
      <c r="D100" s="10" t="s">
        <v>72</v>
      </c>
      <c r="E100" s="9"/>
      <c r="F100" s="13">
        <v>179.7</v>
      </c>
      <c r="G100" s="47">
        <f t="shared" si="2"/>
        <v>19266.78000000001</v>
      </c>
    </row>
    <row r="101" spans="1:7" x14ac:dyDescent="0.25">
      <c r="A101" s="5">
        <v>45524</v>
      </c>
      <c r="B101" s="30" t="s">
        <v>59</v>
      </c>
      <c r="C101" s="30">
        <v>2024</v>
      </c>
      <c r="D101" s="10" t="s">
        <v>80</v>
      </c>
      <c r="E101" s="9"/>
      <c r="F101" s="13">
        <v>1997.07</v>
      </c>
      <c r="G101" s="47">
        <f t="shared" si="2"/>
        <v>17269.71000000001</v>
      </c>
    </row>
    <row r="102" spans="1:7" x14ac:dyDescent="0.25">
      <c r="A102" s="5">
        <v>45524</v>
      </c>
      <c r="B102" s="30" t="s">
        <v>59</v>
      </c>
      <c r="C102" s="30">
        <v>2024</v>
      </c>
      <c r="D102" s="10" t="s">
        <v>81</v>
      </c>
      <c r="E102" s="9"/>
      <c r="F102" s="13">
        <v>6000</v>
      </c>
      <c r="G102" s="47">
        <f t="shared" si="2"/>
        <v>11269.71000000001</v>
      </c>
    </row>
    <row r="103" spans="1:7" x14ac:dyDescent="0.25">
      <c r="A103" s="5">
        <v>45524</v>
      </c>
      <c r="B103" s="30" t="s">
        <v>59</v>
      </c>
      <c r="C103" s="30">
        <v>2024</v>
      </c>
      <c r="D103" s="10" t="s">
        <v>82</v>
      </c>
      <c r="E103" s="9"/>
      <c r="F103" s="13">
        <v>2200</v>
      </c>
      <c r="G103" s="47">
        <f t="shared" si="2"/>
        <v>9069.71000000001</v>
      </c>
    </row>
    <row r="104" spans="1:7" x14ac:dyDescent="0.25">
      <c r="A104" s="5">
        <v>45524</v>
      </c>
      <c r="B104" s="30" t="s">
        <v>59</v>
      </c>
      <c r="C104" s="30">
        <v>2024</v>
      </c>
      <c r="D104" s="10" t="s">
        <v>83</v>
      </c>
      <c r="E104" s="9"/>
      <c r="F104" s="13">
        <v>2500</v>
      </c>
      <c r="G104" s="47">
        <f t="shared" si="2"/>
        <v>6569.71000000001</v>
      </c>
    </row>
    <row r="105" spans="1:7" x14ac:dyDescent="0.25">
      <c r="A105" s="5">
        <v>45524</v>
      </c>
      <c r="B105" s="30" t="s">
        <v>59</v>
      </c>
      <c r="C105" s="30">
        <v>2024</v>
      </c>
      <c r="D105" s="10" t="s">
        <v>84</v>
      </c>
      <c r="E105" s="9"/>
      <c r="F105" s="13">
        <v>435</v>
      </c>
      <c r="G105" s="47">
        <f t="shared" si="2"/>
        <v>6134.71000000001</v>
      </c>
    </row>
    <row r="106" spans="1:7" x14ac:dyDescent="0.25">
      <c r="A106" s="5">
        <v>45524</v>
      </c>
      <c r="B106" s="30" t="s">
        <v>59</v>
      </c>
      <c r="C106" s="30">
        <v>2024</v>
      </c>
      <c r="D106" s="10" t="s">
        <v>19</v>
      </c>
      <c r="E106" s="9"/>
      <c r="F106" s="9">
        <v>140</v>
      </c>
      <c r="G106" s="47">
        <f t="shared" si="2"/>
        <v>5994.71000000001</v>
      </c>
    </row>
    <row r="107" spans="1:7" x14ac:dyDescent="0.25">
      <c r="A107" s="5">
        <v>45524</v>
      </c>
      <c r="B107" s="30" t="s">
        <v>59</v>
      </c>
      <c r="C107" s="30">
        <v>2024</v>
      </c>
      <c r="D107" s="8" t="s">
        <v>85</v>
      </c>
      <c r="E107" s="9"/>
      <c r="F107" s="9">
        <v>600</v>
      </c>
      <c r="G107" s="47">
        <f t="shared" si="2"/>
        <v>5394.71000000001</v>
      </c>
    </row>
    <row r="108" spans="1:7" x14ac:dyDescent="0.25">
      <c r="A108" s="5">
        <v>45524</v>
      </c>
      <c r="B108" s="30" t="s">
        <v>59</v>
      </c>
      <c r="C108" s="30">
        <v>2024</v>
      </c>
      <c r="D108" s="8" t="s">
        <v>85</v>
      </c>
      <c r="E108" s="9"/>
      <c r="F108" s="9">
        <v>800</v>
      </c>
      <c r="G108" s="47">
        <f t="shared" si="2"/>
        <v>4594.71000000001</v>
      </c>
    </row>
    <row r="109" spans="1:7" x14ac:dyDescent="0.25">
      <c r="A109" s="5">
        <v>45524</v>
      </c>
      <c r="B109" s="30" t="s">
        <v>59</v>
      </c>
      <c r="C109" s="30">
        <v>2024</v>
      </c>
      <c r="D109" s="8" t="s">
        <v>85</v>
      </c>
      <c r="E109" s="9"/>
      <c r="F109" s="9">
        <v>400</v>
      </c>
      <c r="G109" s="47">
        <f t="shared" si="2"/>
        <v>4194.71000000001</v>
      </c>
    </row>
    <row r="110" spans="1:7" x14ac:dyDescent="0.25">
      <c r="A110" s="5">
        <v>45524</v>
      </c>
      <c r="B110" s="30" t="s">
        <v>59</v>
      </c>
      <c r="C110" s="30">
        <v>2024</v>
      </c>
      <c r="D110" s="8" t="s">
        <v>86</v>
      </c>
      <c r="E110" s="9"/>
      <c r="F110" s="9">
        <v>600</v>
      </c>
      <c r="G110" s="47">
        <f t="shared" si="2"/>
        <v>3594.71000000001</v>
      </c>
    </row>
    <row r="111" spans="1:7" x14ac:dyDescent="0.25">
      <c r="A111" s="5">
        <v>45524</v>
      </c>
      <c r="B111" s="30" t="s">
        <v>59</v>
      </c>
      <c r="C111" s="30">
        <v>2024</v>
      </c>
      <c r="D111" s="8" t="s">
        <v>87</v>
      </c>
      <c r="E111" s="9"/>
      <c r="F111" s="9">
        <v>1000</v>
      </c>
      <c r="G111" s="47">
        <f>G110+E111-F111</f>
        <v>2594.71000000001</v>
      </c>
    </row>
    <row r="112" spans="1:7" x14ac:dyDescent="0.25">
      <c r="A112" s="5">
        <v>45524</v>
      </c>
      <c r="B112" s="30" t="s">
        <v>59</v>
      </c>
      <c r="C112" s="30">
        <v>2024</v>
      </c>
      <c r="D112" s="8" t="s">
        <v>88</v>
      </c>
      <c r="E112" s="9"/>
      <c r="F112" s="9">
        <v>2500</v>
      </c>
      <c r="G112" s="47">
        <f t="shared" si="2"/>
        <v>94.710000000010041</v>
      </c>
    </row>
    <row r="113" spans="1:7" x14ac:dyDescent="0.25">
      <c r="A113" s="5">
        <v>45524</v>
      </c>
      <c r="B113" s="30" t="s">
        <v>59</v>
      </c>
      <c r="C113" s="30">
        <v>2024</v>
      </c>
      <c r="D113" s="14" t="s">
        <v>89</v>
      </c>
      <c r="E113" s="9"/>
      <c r="F113" s="13">
        <v>300</v>
      </c>
      <c r="G113" s="47">
        <f t="shared" si="2"/>
        <v>-205.28999999998996</v>
      </c>
    </row>
    <row r="114" spans="1:7" x14ac:dyDescent="0.25">
      <c r="A114" s="5">
        <v>45524</v>
      </c>
      <c r="B114" s="30" t="s">
        <v>59</v>
      </c>
      <c r="C114" s="30">
        <v>2024</v>
      </c>
      <c r="D114" s="14" t="s">
        <v>90</v>
      </c>
      <c r="E114" s="9"/>
      <c r="F114" s="13">
        <v>600</v>
      </c>
      <c r="G114" s="47">
        <f t="shared" si="2"/>
        <v>-805.28999999998996</v>
      </c>
    </row>
    <row r="115" spans="1:7" x14ac:dyDescent="0.25">
      <c r="A115" s="5">
        <v>45524</v>
      </c>
      <c r="B115" s="30" t="s">
        <v>59</v>
      </c>
      <c r="C115" s="30">
        <v>2024</v>
      </c>
      <c r="D115" s="8" t="s">
        <v>91</v>
      </c>
      <c r="E115" s="9"/>
      <c r="F115" s="9">
        <v>250</v>
      </c>
      <c r="G115" s="47">
        <f t="shared" si="2"/>
        <v>-1055.28999999999</v>
      </c>
    </row>
    <row r="116" spans="1:7" x14ac:dyDescent="0.25">
      <c r="A116" s="5">
        <v>45524</v>
      </c>
      <c r="B116" s="30" t="s">
        <v>59</v>
      </c>
      <c r="C116" s="30">
        <v>2024</v>
      </c>
      <c r="D116" s="8" t="s">
        <v>92</v>
      </c>
      <c r="E116" s="9"/>
      <c r="F116" s="9">
        <v>780</v>
      </c>
      <c r="G116" s="47">
        <f t="shared" si="2"/>
        <v>-1835.28999999999</v>
      </c>
    </row>
    <row r="117" spans="1:7" x14ac:dyDescent="0.25">
      <c r="A117" s="5">
        <v>45524</v>
      </c>
      <c r="B117" s="30" t="s">
        <v>59</v>
      </c>
      <c r="C117" s="30">
        <v>2024</v>
      </c>
      <c r="D117" s="8" t="s">
        <v>84</v>
      </c>
      <c r="E117" s="9"/>
      <c r="F117" s="9">
        <v>1550</v>
      </c>
      <c r="G117" s="47">
        <f t="shared" si="2"/>
        <v>-3385.28999999999</v>
      </c>
    </row>
    <row r="118" spans="1:7" x14ac:dyDescent="0.25">
      <c r="A118" s="5">
        <v>45524</v>
      </c>
      <c r="B118" s="30" t="s">
        <v>59</v>
      </c>
      <c r="C118" s="30">
        <v>2024</v>
      </c>
      <c r="D118" s="8" t="s">
        <v>93</v>
      </c>
      <c r="E118" s="9"/>
      <c r="F118" s="9">
        <v>450</v>
      </c>
      <c r="G118" s="47">
        <f t="shared" si="2"/>
        <v>-3835.28999999999</v>
      </c>
    </row>
    <row r="119" spans="1:7" x14ac:dyDescent="0.25">
      <c r="A119" s="5">
        <v>45524</v>
      </c>
      <c r="B119" s="30" t="s">
        <v>59</v>
      </c>
      <c r="C119" s="30">
        <v>2024</v>
      </c>
      <c r="D119" s="8" t="s">
        <v>93</v>
      </c>
      <c r="E119" s="9"/>
      <c r="F119" s="9">
        <v>560</v>
      </c>
      <c r="G119" s="47">
        <f t="shared" si="2"/>
        <v>-4395.28999999999</v>
      </c>
    </row>
    <row r="120" spans="1:7" x14ac:dyDescent="0.25">
      <c r="A120" s="5">
        <v>45524</v>
      </c>
      <c r="B120" s="30" t="s">
        <v>59</v>
      </c>
      <c r="C120" s="30">
        <v>2024</v>
      </c>
      <c r="D120" s="8" t="s">
        <v>94</v>
      </c>
      <c r="E120" s="9"/>
      <c r="F120" s="9">
        <v>400</v>
      </c>
      <c r="G120" s="47">
        <f t="shared" si="2"/>
        <v>-4795.28999999999</v>
      </c>
    </row>
    <row r="121" spans="1:7" x14ac:dyDescent="0.25">
      <c r="A121" s="5">
        <v>45524</v>
      </c>
      <c r="B121" s="30" t="s">
        <v>59</v>
      </c>
      <c r="C121" s="30">
        <v>2024</v>
      </c>
      <c r="D121" s="8" t="s">
        <v>72</v>
      </c>
      <c r="E121" s="9"/>
      <c r="F121" s="9">
        <v>300</v>
      </c>
      <c r="G121" s="47">
        <f t="shared" si="2"/>
        <v>-5095.28999999999</v>
      </c>
    </row>
    <row r="122" spans="1:7" x14ac:dyDescent="0.25">
      <c r="A122" s="5">
        <v>45524</v>
      </c>
      <c r="B122" s="30" t="s">
        <v>59</v>
      </c>
      <c r="C122" s="30">
        <v>2024</v>
      </c>
      <c r="D122" s="8" t="s">
        <v>95</v>
      </c>
      <c r="E122" s="9"/>
      <c r="F122" s="9">
        <v>1350</v>
      </c>
      <c r="G122" s="47">
        <f t="shared" si="2"/>
        <v>-6445.28999999999</v>
      </c>
    </row>
    <row r="123" spans="1:7" x14ac:dyDescent="0.25">
      <c r="A123" s="5">
        <v>45524</v>
      </c>
      <c r="B123" s="30" t="s">
        <v>59</v>
      </c>
      <c r="C123" s="30">
        <v>2024</v>
      </c>
      <c r="D123" s="8" t="s">
        <v>84</v>
      </c>
      <c r="E123" s="9"/>
      <c r="F123" s="9">
        <v>1175</v>
      </c>
      <c r="G123" s="47">
        <f t="shared" si="2"/>
        <v>-7620.28999999999</v>
      </c>
    </row>
    <row r="124" spans="1:7" x14ac:dyDescent="0.25">
      <c r="A124" s="5">
        <v>45524</v>
      </c>
      <c r="B124" s="30" t="s">
        <v>59</v>
      </c>
      <c r="C124" s="30">
        <v>2024</v>
      </c>
      <c r="D124" s="8" t="s">
        <v>84</v>
      </c>
      <c r="E124" s="9"/>
      <c r="F124" s="9">
        <v>400</v>
      </c>
      <c r="G124" s="47">
        <f t="shared" si="2"/>
        <v>-8020.28999999999</v>
      </c>
    </row>
    <row r="125" spans="1:7" x14ac:dyDescent="0.25">
      <c r="A125" s="5">
        <v>45524</v>
      </c>
      <c r="B125" s="30" t="s">
        <v>59</v>
      </c>
      <c r="C125" s="30">
        <v>2024</v>
      </c>
      <c r="D125" s="8" t="s">
        <v>19</v>
      </c>
      <c r="E125" s="9"/>
      <c r="F125" s="9">
        <v>150</v>
      </c>
      <c r="G125" s="47">
        <f t="shared" si="2"/>
        <v>-8170.28999999999</v>
      </c>
    </row>
    <row r="126" spans="1:7" x14ac:dyDescent="0.25">
      <c r="A126" s="5">
        <v>45524</v>
      </c>
      <c r="B126" s="30" t="s">
        <v>59</v>
      </c>
      <c r="C126" s="30">
        <v>2024</v>
      </c>
      <c r="D126" s="8" t="s">
        <v>84</v>
      </c>
      <c r="E126" s="9"/>
      <c r="F126" s="9">
        <v>120</v>
      </c>
      <c r="G126" s="47">
        <f t="shared" si="2"/>
        <v>-8290.28999999999</v>
      </c>
    </row>
    <row r="127" spans="1:7" x14ac:dyDescent="0.25">
      <c r="A127" s="5">
        <v>45524</v>
      </c>
      <c r="B127" s="30" t="s">
        <v>59</v>
      </c>
      <c r="C127" s="30">
        <v>2024</v>
      </c>
      <c r="D127" s="8" t="s">
        <v>19</v>
      </c>
      <c r="E127" s="9"/>
      <c r="F127" s="9">
        <v>500</v>
      </c>
      <c r="G127" s="47">
        <f t="shared" si="2"/>
        <v>-8790.28999999999</v>
      </c>
    </row>
    <row r="128" spans="1:7" x14ac:dyDescent="0.25">
      <c r="A128" s="5">
        <v>45524</v>
      </c>
      <c r="B128" s="30" t="s">
        <v>59</v>
      </c>
      <c r="C128" s="30">
        <v>2024</v>
      </c>
      <c r="D128" s="8" t="s">
        <v>96</v>
      </c>
      <c r="E128" s="9"/>
      <c r="F128" s="9">
        <v>220</v>
      </c>
      <c r="G128" s="47">
        <f t="shared" si="2"/>
        <v>-9010.28999999999</v>
      </c>
    </row>
    <row r="129" spans="1:7" x14ac:dyDescent="0.25">
      <c r="A129" s="5">
        <v>45524</v>
      </c>
      <c r="B129" s="30" t="s">
        <v>59</v>
      </c>
      <c r="C129" s="30">
        <v>2024</v>
      </c>
      <c r="D129" s="10" t="s">
        <v>84</v>
      </c>
      <c r="E129" s="9"/>
      <c r="F129" s="9">
        <v>650</v>
      </c>
      <c r="G129" s="47">
        <f t="shared" si="2"/>
        <v>-9660.28999999999</v>
      </c>
    </row>
    <row r="130" spans="1:7" x14ac:dyDescent="0.25">
      <c r="A130" s="5">
        <v>45524</v>
      </c>
      <c r="B130" s="30" t="s">
        <v>59</v>
      </c>
      <c r="C130" s="30">
        <v>2024</v>
      </c>
      <c r="D130" s="2" t="s">
        <v>28</v>
      </c>
      <c r="F130" s="4">
        <v>445</v>
      </c>
      <c r="G130" s="49">
        <f t="shared" si="2"/>
        <v>-10105.28999999999</v>
      </c>
    </row>
    <row r="131" spans="1:7" x14ac:dyDescent="0.25">
      <c r="A131" s="5">
        <v>45524</v>
      </c>
      <c r="B131" s="30" t="s">
        <v>59</v>
      </c>
      <c r="C131" s="30">
        <v>2024</v>
      </c>
      <c r="D131" s="8" t="s">
        <v>84</v>
      </c>
      <c r="E131" s="9"/>
      <c r="F131" s="9">
        <v>350</v>
      </c>
      <c r="G131" s="47">
        <f t="shared" si="2"/>
        <v>-10455.28999999999</v>
      </c>
    </row>
    <row r="132" spans="1:7" x14ac:dyDescent="0.25">
      <c r="A132" s="5">
        <v>45524</v>
      </c>
      <c r="B132" s="30" t="s">
        <v>59</v>
      </c>
      <c r="C132" s="30">
        <v>2024</v>
      </c>
      <c r="D132" s="8" t="s">
        <v>97</v>
      </c>
      <c r="E132" s="9"/>
      <c r="F132" s="9">
        <v>505</v>
      </c>
      <c r="G132" s="47">
        <f t="shared" si="2"/>
        <v>-10960.28999999999</v>
      </c>
    </row>
    <row r="133" spans="1:7" x14ac:dyDescent="0.25">
      <c r="A133" s="5">
        <v>45527</v>
      </c>
      <c r="B133" s="30" t="s">
        <v>59</v>
      </c>
      <c r="C133" s="30">
        <v>2024</v>
      </c>
      <c r="D133" s="8" t="s">
        <v>98</v>
      </c>
      <c r="E133" s="9"/>
      <c r="F133" s="9">
        <v>470</v>
      </c>
      <c r="G133" s="47">
        <f t="shared" si="2"/>
        <v>-11430.28999999999</v>
      </c>
    </row>
    <row r="134" spans="1:7" x14ac:dyDescent="0.25">
      <c r="A134" s="5">
        <v>45527</v>
      </c>
      <c r="B134" s="30" t="s">
        <v>59</v>
      </c>
      <c r="C134" s="30">
        <v>2024</v>
      </c>
      <c r="D134" s="14" t="s">
        <v>99</v>
      </c>
      <c r="E134" s="9"/>
      <c r="F134" s="13">
        <v>520</v>
      </c>
      <c r="G134" s="47">
        <f t="shared" si="2"/>
        <v>-11950.28999999999</v>
      </c>
    </row>
    <row r="135" spans="1:7" x14ac:dyDescent="0.25">
      <c r="A135" s="5">
        <v>45527</v>
      </c>
      <c r="B135" s="30" t="s">
        <v>59</v>
      </c>
      <c r="C135" s="30">
        <v>2024</v>
      </c>
      <c r="D135" s="8" t="s">
        <v>98</v>
      </c>
      <c r="E135" s="9"/>
      <c r="F135" s="9">
        <v>250</v>
      </c>
      <c r="G135" s="47">
        <f t="shared" ref="G135:G206" si="3">G134+E135-F135</f>
        <v>-12200.28999999999</v>
      </c>
    </row>
    <row r="136" spans="1:7" x14ac:dyDescent="0.25">
      <c r="A136" s="5">
        <v>45527</v>
      </c>
      <c r="B136" s="30" t="s">
        <v>59</v>
      </c>
      <c r="C136" s="30">
        <v>2024</v>
      </c>
      <c r="D136" s="8" t="s">
        <v>100</v>
      </c>
      <c r="E136" s="9"/>
      <c r="F136" s="9">
        <v>580</v>
      </c>
      <c r="G136" s="47">
        <f t="shared" si="3"/>
        <v>-12780.28999999999</v>
      </c>
    </row>
    <row r="137" spans="1:7" x14ac:dyDescent="0.25">
      <c r="A137" s="5">
        <v>45527</v>
      </c>
      <c r="B137" s="30" t="s">
        <v>59</v>
      </c>
      <c r="C137" s="30">
        <v>2024</v>
      </c>
      <c r="D137" s="8" t="s">
        <v>101</v>
      </c>
      <c r="E137" s="9"/>
      <c r="F137" s="9">
        <v>15</v>
      </c>
      <c r="G137" s="47">
        <f t="shared" si="3"/>
        <v>-12795.28999999999</v>
      </c>
    </row>
    <row r="138" spans="1:7" x14ac:dyDescent="0.25">
      <c r="A138" s="5">
        <v>45527</v>
      </c>
      <c r="B138" s="30" t="s">
        <v>59</v>
      </c>
      <c r="C138" s="30">
        <v>2024</v>
      </c>
      <c r="D138" s="8" t="s">
        <v>85</v>
      </c>
      <c r="E138" s="9"/>
      <c r="F138" s="9">
        <v>600</v>
      </c>
      <c r="G138" s="47">
        <f t="shared" si="3"/>
        <v>-13395.28999999999</v>
      </c>
    </row>
    <row r="139" spans="1:7" x14ac:dyDescent="0.25">
      <c r="A139" s="5">
        <v>45527</v>
      </c>
      <c r="B139" s="30" t="s">
        <v>59</v>
      </c>
      <c r="C139" s="30">
        <v>2024</v>
      </c>
      <c r="D139" s="8" t="s">
        <v>85</v>
      </c>
      <c r="E139" s="9"/>
      <c r="F139" s="9">
        <v>1000</v>
      </c>
      <c r="G139" s="47">
        <f t="shared" si="3"/>
        <v>-14395.28999999999</v>
      </c>
    </row>
    <row r="140" spans="1:7" x14ac:dyDescent="0.25">
      <c r="A140" s="5">
        <v>45527</v>
      </c>
      <c r="B140" s="30" t="s">
        <v>59</v>
      </c>
      <c r="C140" s="30">
        <v>2024</v>
      </c>
      <c r="D140" s="8" t="s">
        <v>84</v>
      </c>
      <c r="E140" s="9"/>
      <c r="F140" s="9">
        <v>750</v>
      </c>
      <c r="G140" s="47">
        <f t="shared" si="3"/>
        <v>-15145.28999999999</v>
      </c>
    </row>
    <row r="141" spans="1:7" x14ac:dyDescent="0.25">
      <c r="A141" s="5">
        <v>45527</v>
      </c>
      <c r="B141" s="30" t="s">
        <v>59</v>
      </c>
      <c r="C141" s="30">
        <v>2024</v>
      </c>
      <c r="D141" s="3" t="s">
        <v>102</v>
      </c>
      <c r="F141" s="4">
        <v>570</v>
      </c>
      <c r="G141" s="49">
        <f t="shared" si="3"/>
        <v>-15715.28999999999</v>
      </c>
    </row>
    <row r="142" spans="1:7" x14ac:dyDescent="0.25">
      <c r="A142" s="5">
        <v>45527</v>
      </c>
      <c r="B142" s="30" t="s">
        <v>59</v>
      </c>
      <c r="C142" s="30">
        <v>2024</v>
      </c>
      <c r="D142" s="8" t="s">
        <v>103</v>
      </c>
      <c r="E142" s="9"/>
      <c r="F142" s="9">
        <v>560</v>
      </c>
      <c r="G142" s="47">
        <f t="shared" si="3"/>
        <v>-16275.28999999999</v>
      </c>
    </row>
    <row r="143" spans="1:7" x14ac:dyDescent="0.25">
      <c r="A143" s="5">
        <v>45527</v>
      </c>
      <c r="B143" s="30" t="s">
        <v>59</v>
      </c>
      <c r="C143" s="30">
        <v>2024</v>
      </c>
      <c r="D143" s="8" t="s">
        <v>104</v>
      </c>
      <c r="E143" s="9"/>
      <c r="F143" s="9">
        <v>236</v>
      </c>
      <c r="G143" s="47">
        <f t="shared" si="3"/>
        <v>-16511.28999999999</v>
      </c>
    </row>
    <row r="144" spans="1:7" x14ac:dyDescent="0.25">
      <c r="A144" s="5">
        <v>45527</v>
      </c>
      <c r="B144" s="30" t="s">
        <v>59</v>
      </c>
      <c r="C144" s="30">
        <v>2024</v>
      </c>
      <c r="D144" s="8" t="s">
        <v>105</v>
      </c>
      <c r="E144" s="9"/>
      <c r="F144" s="9">
        <v>1500</v>
      </c>
      <c r="G144" s="47">
        <f t="shared" si="3"/>
        <v>-18011.28999999999</v>
      </c>
    </row>
    <row r="145" spans="1:7" x14ac:dyDescent="0.25">
      <c r="A145" s="5">
        <v>45527</v>
      </c>
      <c r="B145" s="30" t="s">
        <v>59</v>
      </c>
      <c r="C145" s="30">
        <v>2024</v>
      </c>
      <c r="D145" s="8" t="s">
        <v>106</v>
      </c>
      <c r="E145" s="9"/>
      <c r="F145" s="9">
        <v>240</v>
      </c>
      <c r="G145" s="47">
        <f t="shared" si="3"/>
        <v>-18251.28999999999</v>
      </c>
    </row>
    <row r="146" spans="1:7" x14ac:dyDescent="0.25">
      <c r="A146" s="5">
        <v>45527</v>
      </c>
      <c r="B146" s="30" t="s">
        <v>59</v>
      </c>
      <c r="C146" s="30">
        <v>2024</v>
      </c>
      <c r="D146" s="8" t="s">
        <v>20</v>
      </c>
      <c r="E146" s="9"/>
      <c r="F146" s="9">
        <v>200</v>
      </c>
      <c r="G146" s="47">
        <f t="shared" si="3"/>
        <v>-18451.28999999999</v>
      </c>
    </row>
    <row r="147" spans="1:7" x14ac:dyDescent="0.25">
      <c r="A147" s="5">
        <v>45527</v>
      </c>
      <c r="B147" s="30" t="s">
        <v>59</v>
      </c>
      <c r="C147" s="30">
        <v>2024</v>
      </c>
      <c r="D147" s="8" t="s">
        <v>107</v>
      </c>
      <c r="E147" s="9"/>
      <c r="F147" s="9">
        <v>3000</v>
      </c>
      <c r="G147" s="47">
        <f t="shared" si="3"/>
        <v>-21451.28999999999</v>
      </c>
    </row>
    <row r="148" spans="1:7" x14ac:dyDescent="0.25">
      <c r="A148" s="5">
        <v>45527</v>
      </c>
      <c r="B148" s="30" t="s">
        <v>59</v>
      </c>
      <c r="C148" s="30">
        <v>2024</v>
      </c>
      <c r="D148" s="8" t="s">
        <v>84</v>
      </c>
      <c r="E148" s="9"/>
      <c r="F148" s="9">
        <v>2400</v>
      </c>
      <c r="G148" s="47">
        <f t="shared" si="3"/>
        <v>-23851.28999999999</v>
      </c>
    </row>
    <row r="149" spans="1:7" x14ac:dyDescent="0.25">
      <c r="A149" s="5">
        <v>45527</v>
      </c>
      <c r="B149" s="30" t="s">
        <v>59</v>
      </c>
      <c r="C149" s="30">
        <v>2024</v>
      </c>
      <c r="D149" s="41" t="s">
        <v>67</v>
      </c>
      <c r="E149" s="9">
        <v>12500</v>
      </c>
      <c r="F149" s="9"/>
      <c r="G149" s="47">
        <f t="shared" si="3"/>
        <v>-11351.28999999999</v>
      </c>
    </row>
    <row r="150" spans="1:7" x14ac:dyDescent="0.25">
      <c r="A150" s="5">
        <v>45537</v>
      </c>
      <c r="B150" s="30" t="s">
        <v>109</v>
      </c>
      <c r="C150" s="30">
        <v>2024</v>
      </c>
      <c r="D150" s="41" t="s">
        <v>67</v>
      </c>
      <c r="E150" s="9">
        <v>40000</v>
      </c>
      <c r="F150" s="9"/>
      <c r="G150" s="47">
        <f t="shared" si="3"/>
        <v>28648.71000000001</v>
      </c>
    </row>
    <row r="151" spans="1:7" x14ac:dyDescent="0.25">
      <c r="A151" s="5">
        <v>45537</v>
      </c>
      <c r="B151" s="30" t="s">
        <v>109</v>
      </c>
      <c r="C151" s="30">
        <v>2024</v>
      </c>
      <c r="D151" s="8" t="s">
        <v>110</v>
      </c>
      <c r="E151" s="9"/>
      <c r="F151" s="9">
        <v>33162.94</v>
      </c>
      <c r="G151" s="47">
        <f t="shared" si="3"/>
        <v>-4514.2299999999923</v>
      </c>
    </row>
    <row r="152" spans="1:7" x14ac:dyDescent="0.25">
      <c r="A152" s="5">
        <v>45537</v>
      </c>
      <c r="B152" s="30" t="s">
        <v>109</v>
      </c>
      <c r="C152" s="30">
        <v>2024</v>
      </c>
      <c r="D152" s="8" t="s">
        <v>111</v>
      </c>
      <c r="E152" s="9"/>
      <c r="F152" s="9">
        <v>700</v>
      </c>
      <c r="G152" s="47">
        <f t="shared" si="3"/>
        <v>-5214.2299999999923</v>
      </c>
    </row>
    <row r="153" spans="1:7" x14ac:dyDescent="0.25">
      <c r="A153" s="5">
        <v>45537</v>
      </c>
      <c r="B153" s="30" t="s">
        <v>109</v>
      </c>
      <c r="C153" s="30">
        <v>2024</v>
      </c>
      <c r="D153" s="8" t="s">
        <v>111</v>
      </c>
      <c r="E153" s="9"/>
      <c r="F153" s="9">
        <v>1170</v>
      </c>
      <c r="G153" s="47">
        <f t="shared" si="3"/>
        <v>-6384.2299999999923</v>
      </c>
    </row>
    <row r="154" spans="1:7" x14ac:dyDescent="0.25">
      <c r="A154" s="5">
        <v>45537</v>
      </c>
      <c r="B154" s="30" t="s">
        <v>109</v>
      </c>
      <c r="C154" s="30">
        <v>2024</v>
      </c>
      <c r="D154" s="8" t="s">
        <v>28</v>
      </c>
      <c r="E154" s="9"/>
      <c r="F154" s="9">
        <v>760</v>
      </c>
      <c r="G154" s="47">
        <f t="shared" si="3"/>
        <v>-7144.2299999999923</v>
      </c>
    </row>
    <row r="155" spans="1:7" x14ac:dyDescent="0.25">
      <c r="A155" s="5">
        <v>45537</v>
      </c>
      <c r="B155" s="30" t="s">
        <v>109</v>
      </c>
      <c r="C155" s="30">
        <v>2024</v>
      </c>
      <c r="D155" s="8" t="s">
        <v>19</v>
      </c>
      <c r="E155" s="9"/>
      <c r="F155" s="9">
        <v>360</v>
      </c>
      <c r="G155" s="47">
        <f t="shared" si="3"/>
        <v>-7504.2299999999923</v>
      </c>
    </row>
    <row r="156" spans="1:7" x14ac:dyDescent="0.25">
      <c r="A156" s="5">
        <v>45537</v>
      </c>
      <c r="B156" s="30" t="s">
        <v>109</v>
      </c>
      <c r="C156" s="30">
        <v>2024</v>
      </c>
      <c r="D156" s="8" t="s">
        <v>85</v>
      </c>
      <c r="E156" s="9"/>
      <c r="F156" s="9">
        <v>500</v>
      </c>
      <c r="G156" s="47">
        <f t="shared" si="3"/>
        <v>-8004.2299999999923</v>
      </c>
    </row>
    <row r="157" spans="1:7" x14ac:dyDescent="0.25">
      <c r="A157" s="5">
        <v>45537</v>
      </c>
      <c r="B157" s="30" t="s">
        <v>109</v>
      </c>
      <c r="C157" s="30">
        <v>2024</v>
      </c>
      <c r="D157" s="8" t="s">
        <v>112</v>
      </c>
      <c r="E157" s="9"/>
      <c r="F157" s="9">
        <v>415</v>
      </c>
      <c r="G157" s="47">
        <f t="shared" si="3"/>
        <v>-8419.2299999999923</v>
      </c>
    </row>
    <row r="158" spans="1:7" x14ac:dyDescent="0.25">
      <c r="A158" s="5">
        <v>45537</v>
      </c>
      <c r="B158" s="30" t="s">
        <v>109</v>
      </c>
      <c r="C158" s="30">
        <v>2024</v>
      </c>
      <c r="D158" s="14" t="s">
        <v>85</v>
      </c>
      <c r="E158" s="9"/>
      <c r="F158" s="13">
        <v>1000</v>
      </c>
      <c r="G158" s="47">
        <f t="shared" si="3"/>
        <v>-9419.2299999999923</v>
      </c>
    </row>
    <row r="159" spans="1:7" x14ac:dyDescent="0.25">
      <c r="A159" s="5">
        <v>45537</v>
      </c>
      <c r="B159" s="30" t="s">
        <v>109</v>
      </c>
      <c r="C159" s="30">
        <v>2024</v>
      </c>
      <c r="D159" s="14" t="s">
        <v>28</v>
      </c>
      <c r="E159" s="9"/>
      <c r="F159" s="13">
        <v>186.5</v>
      </c>
      <c r="G159" s="47">
        <f t="shared" si="3"/>
        <v>-9605.7299999999923</v>
      </c>
    </row>
    <row r="160" spans="1:7" x14ac:dyDescent="0.25">
      <c r="A160" s="5">
        <v>45537</v>
      </c>
      <c r="B160" s="30" t="s">
        <v>109</v>
      </c>
      <c r="C160" s="30">
        <v>2024</v>
      </c>
      <c r="D160" s="10" t="s">
        <v>113</v>
      </c>
      <c r="E160" s="9"/>
      <c r="F160" s="9">
        <v>700</v>
      </c>
      <c r="G160" s="47">
        <f t="shared" si="3"/>
        <v>-10305.729999999992</v>
      </c>
    </row>
    <row r="161" spans="1:7" x14ac:dyDescent="0.25">
      <c r="A161" s="5">
        <v>45537</v>
      </c>
      <c r="B161" s="30" t="s">
        <v>109</v>
      </c>
      <c r="C161" s="30">
        <v>2024</v>
      </c>
      <c r="D161" s="8" t="s">
        <v>114</v>
      </c>
      <c r="E161" s="9"/>
      <c r="F161" s="9">
        <v>1000</v>
      </c>
      <c r="G161" s="47">
        <f t="shared" si="3"/>
        <v>-11305.729999999992</v>
      </c>
    </row>
    <row r="162" spans="1:7" x14ac:dyDescent="0.25">
      <c r="A162" s="5">
        <v>45537</v>
      </c>
      <c r="B162" s="30" t="s">
        <v>109</v>
      </c>
      <c r="C162" s="30">
        <v>2024</v>
      </c>
      <c r="D162" s="10" t="s">
        <v>72</v>
      </c>
      <c r="E162" s="9"/>
      <c r="F162" s="9">
        <v>480</v>
      </c>
      <c r="G162" s="47">
        <f t="shared" si="3"/>
        <v>-11785.729999999992</v>
      </c>
    </row>
    <row r="163" spans="1:7" x14ac:dyDescent="0.25">
      <c r="A163" s="5">
        <v>45537</v>
      </c>
      <c r="B163" s="30" t="s">
        <v>109</v>
      </c>
      <c r="C163" s="30">
        <v>2024</v>
      </c>
      <c r="D163" s="15" t="s">
        <v>84</v>
      </c>
      <c r="E163" s="9"/>
      <c r="F163" s="9">
        <v>1075</v>
      </c>
      <c r="G163" s="47">
        <f t="shared" si="3"/>
        <v>-12860.729999999992</v>
      </c>
    </row>
    <row r="164" spans="1:7" x14ac:dyDescent="0.25">
      <c r="A164" s="5">
        <v>45537</v>
      </c>
      <c r="B164" s="30" t="s">
        <v>109</v>
      </c>
      <c r="C164" s="30">
        <v>2024</v>
      </c>
      <c r="D164" s="10" t="s">
        <v>72</v>
      </c>
      <c r="E164" s="9"/>
      <c r="F164" s="9">
        <v>480</v>
      </c>
      <c r="G164" s="47">
        <f t="shared" si="3"/>
        <v>-13340.729999999992</v>
      </c>
    </row>
    <row r="165" spans="1:7" x14ac:dyDescent="0.25">
      <c r="A165" s="5">
        <v>45537</v>
      </c>
      <c r="B165" s="30" t="s">
        <v>109</v>
      </c>
      <c r="C165" s="30">
        <v>2024</v>
      </c>
      <c r="D165" s="3" t="s">
        <v>115</v>
      </c>
      <c r="F165" s="4">
        <v>300</v>
      </c>
      <c r="G165" s="49">
        <f t="shared" si="3"/>
        <v>-13640.729999999992</v>
      </c>
    </row>
    <row r="166" spans="1:7" x14ac:dyDescent="0.25">
      <c r="A166" s="5">
        <v>45537</v>
      </c>
      <c r="B166" s="30" t="s">
        <v>109</v>
      </c>
      <c r="C166" s="30">
        <v>2024</v>
      </c>
      <c r="D166" s="3" t="s">
        <v>117</v>
      </c>
      <c r="F166" s="4">
        <v>920</v>
      </c>
      <c r="G166" s="47">
        <f t="shared" si="3"/>
        <v>-14560.729999999992</v>
      </c>
    </row>
    <row r="167" spans="1:7" x14ac:dyDescent="0.25">
      <c r="A167" s="5">
        <v>45537</v>
      </c>
      <c r="B167" s="30" t="s">
        <v>109</v>
      </c>
      <c r="C167" s="30">
        <v>2024</v>
      </c>
      <c r="D167" s="3" t="s">
        <v>84</v>
      </c>
      <c r="F167" s="4">
        <v>500</v>
      </c>
      <c r="G167" s="47">
        <f t="shared" si="3"/>
        <v>-15060.729999999992</v>
      </c>
    </row>
    <row r="168" spans="1:7" x14ac:dyDescent="0.25">
      <c r="A168" s="5">
        <v>45537</v>
      </c>
      <c r="B168" s="30" t="s">
        <v>109</v>
      </c>
      <c r="C168" s="30">
        <v>2024</v>
      </c>
      <c r="D168" s="3" t="s">
        <v>116</v>
      </c>
      <c r="F168" s="4">
        <v>180</v>
      </c>
      <c r="G168" s="47">
        <f t="shared" si="3"/>
        <v>-15240.729999999992</v>
      </c>
    </row>
    <row r="169" spans="1:7" x14ac:dyDescent="0.25">
      <c r="A169" s="5">
        <v>45537</v>
      </c>
      <c r="B169" s="30" t="s">
        <v>109</v>
      </c>
      <c r="C169" s="30">
        <v>2024</v>
      </c>
      <c r="D169" s="3" t="s">
        <v>118</v>
      </c>
      <c r="F169" s="4">
        <v>200</v>
      </c>
      <c r="G169" s="47">
        <f t="shared" si="3"/>
        <v>-15440.729999999992</v>
      </c>
    </row>
    <row r="170" spans="1:7" x14ac:dyDescent="0.25">
      <c r="A170" s="5">
        <v>45537</v>
      </c>
      <c r="B170" s="30" t="s">
        <v>109</v>
      </c>
      <c r="C170" s="30">
        <v>2024</v>
      </c>
      <c r="D170" s="3" t="s">
        <v>119</v>
      </c>
      <c r="F170" s="4">
        <v>725</v>
      </c>
      <c r="G170" s="47">
        <f t="shared" si="3"/>
        <v>-16165.729999999992</v>
      </c>
    </row>
    <row r="171" spans="1:7" x14ac:dyDescent="0.25">
      <c r="A171" s="5">
        <v>45537</v>
      </c>
      <c r="B171" s="30" t="s">
        <v>109</v>
      </c>
      <c r="C171" s="30">
        <v>2024</v>
      </c>
      <c r="D171" s="3" t="s">
        <v>120</v>
      </c>
      <c r="F171" s="4">
        <v>500</v>
      </c>
      <c r="G171" s="47">
        <f t="shared" si="3"/>
        <v>-16665.729999999992</v>
      </c>
    </row>
    <row r="172" spans="1:7" x14ac:dyDescent="0.25">
      <c r="A172" s="5">
        <v>45537</v>
      </c>
      <c r="B172" s="30" t="s">
        <v>109</v>
      </c>
      <c r="C172" s="30">
        <v>2024</v>
      </c>
      <c r="D172" s="3" t="s">
        <v>85</v>
      </c>
      <c r="F172" s="4">
        <v>350</v>
      </c>
      <c r="G172" s="47">
        <f t="shared" si="3"/>
        <v>-17015.729999999992</v>
      </c>
    </row>
    <row r="173" spans="1:7" x14ac:dyDescent="0.25">
      <c r="A173" s="5">
        <v>45537</v>
      </c>
      <c r="B173" s="30" t="s">
        <v>109</v>
      </c>
      <c r="C173" s="30">
        <v>2024</v>
      </c>
      <c r="D173" s="3" t="s">
        <v>85</v>
      </c>
      <c r="F173" s="4">
        <v>500</v>
      </c>
      <c r="G173" s="47">
        <f t="shared" si="3"/>
        <v>-17515.729999999992</v>
      </c>
    </row>
    <row r="174" spans="1:7" x14ac:dyDescent="0.25">
      <c r="A174" s="5">
        <v>45537</v>
      </c>
      <c r="B174" s="30" t="s">
        <v>109</v>
      </c>
      <c r="C174" s="30">
        <v>2024</v>
      </c>
      <c r="D174" s="3" t="s">
        <v>121</v>
      </c>
      <c r="F174" s="4">
        <v>7000</v>
      </c>
      <c r="G174" s="47">
        <f t="shared" si="3"/>
        <v>-24515.729999999992</v>
      </c>
    </row>
    <row r="175" spans="1:7" x14ac:dyDescent="0.25">
      <c r="A175" s="5">
        <v>45541</v>
      </c>
      <c r="B175" s="30" t="s">
        <v>109</v>
      </c>
      <c r="C175" s="30">
        <v>2024</v>
      </c>
      <c r="D175" s="41" t="s">
        <v>67</v>
      </c>
      <c r="E175" s="9">
        <v>20000</v>
      </c>
      <c r="G175" s="47">
        <f t="shared" si="3"/>
        <v>-4515.7299999999923</v>
      </c>
    </row>
    <row r="176" spans="1:7" x14ac:dyDescent="0.25">
      <c r="A176" s="5">
        <v>45542</v>
      </c>
      <c r="B176" s="30" t="s">
        <v>109</v>
      </c>
      <c r="C176" s="30">
        <v>2024</v>
      </c>
      <c r="D176" s="41" t="s">
        <v>67</v>
      </c>
      <c r="E176" s="9">
        <v>20000</v>
      </c>
      <c r="G176" s="47">
        <f t="shared" si="3"/>
        <v>15484.270000000008</v>
      </c>
    </row>
    <row r="177" spans="1:44" x14ac:dyDescent="0.25">
      <c r="A177" s="5">
        <v>45552</v>
      </c>
      <c r="B177" s="30" t="s">
        <v>109</v>
      </c>
      <c r="C177" s="30">
        <v>2024</v>
      </c>
      <c r="D177" s="3" t="s">
        <v>122</v>
      </c>
      <c r="F177" s="4">
        <v>385</v>
      </c>
      <c r="G177" s="47">
        <f t="shared" si="3"/>
        <v>15099.270000000008</v>
      </c>
    </row>
    <row r="178" spans="1:44" x14ac:dyDescent="0.25">
      <c r="A178" s="5">
        <v>45552</v>
      </c>
      <c r="B178" s="30" t="s">
        <v>109</v>
      </c>
      <c r="C178" s="30">
        <v>2024</v>
      </c>
      <c r="D178" s="3" t="s">
        <v>123</v>
      </c>
      <c r="F178" s="4">
        <v>925</v>
      </c>
      <c r="G178" s="47">
        <f t="shared" si="3"/>
        <v>14174.270000000008</v>
      </c>
    </row>
    <row r="179" spans="1:44" x14ac:dyDescent="0.25">
      <c r="A179" s="5">
        <v>45552</v>
      </c>
      <c r="B179" s="30" t="s">
        <v>109</v>
      </c>
      <c r="C179" s="30">
        <v>2024</v>
      </c>
      <c r="D179" s="3" t="s">
        <v>124</v>
      </c>
      <c r="F179" s="4">
        <v>150</v>
      </c>
      <c r="G179" s="47">
        <f t="shared" si="3"/>
        <v>14024.270000000008</v>
      </c>
    </row>
    <row r="180" spans="1:44" x14ac:dyDescent="0.25">
      <c r="A180" s="5">
        <v>45552</v>
      </c>
      <c r="B180" s="30" t="s">
        <v>109</v>
      </c>
      <c r="C180" s="30">
        <v>2024</v>
      </c>
      <c r="D180" s="3" t="s">
        <v>125</v>
      </c>
      <c r="F180" s="4">
        <v>855</v>
      </c>
      <c r="G180" s="47">
        <f t="shared" si="3"/>
        <v>13169.270000000008</v>
      </c>
    </row>
    <row r="181" spans="1:44" x14ac:dyDescent="0.25">
      <c r="A181" s="5">
        <v>45552</v>
      </c>
      <c r="B181" s="30" t="s">
        <v>109</v>
      </c>
      <c r="C181" s="30">
        <v>2024</v>
      </c>
      <c r="D181" s="3" t="s">
        <v>126</v>
      </c>
      <c r="F181" s="4">
        <v>925</v>
      </c>
      <c r="G181" s="47">
        <f t="shared" si="3"/>
        <v>12244.270000000008</v>
      </c>
    </row>
    <row r="182" spans="1:44" x14ac:dyDescent="0.25">
      <c r="A182" s="5">
        <v>45552</v>
      </c>
      <c r="B182" s="30" t="s">
        <v>109</v>
      </c>
      <c r="C182" s="30">
        <v>2024</v>
      </c>
      <c r="D182" s="3" t="s">
        <v>61</v>
      </c>
      <c r="F182" s="4">
        <v>180</v>
      </c>
      <c r="G182" s="47">
        <f t="shared" si="3"/>
        <v>12064.270000000008</v>
      </c>
    </row>
    <row r="183" spans="1:44" x14ac:dyDescent="0.25">
      <c r="A183" s="5">
        <v>45552</v>
      </c>
      <c r="B183" s="30" t="s">
        <v>109</v>
      </c>
      <c r="C183" s="30">
        <v>2024</v>
      </c>
      <c r="D183" s="3" t="s">
        <v>28</v>
      </c>
      <c r="F183" s="4">
        <v>85</v>
      </c>
      <c r="G183" s="47">
        <f t="shared" si="3"/>
        <v>11979.270000000008</v>
      </c>
    </row>
    <row r="184" spans="1:44" x14ac:dyDescent="0.25">
      <c r="A184" s="5">
        <v>45552</v>
      </c>
      <c r="B184" s="30" t="s">
        <v>109</v>
      </c>
      <c r="C184" s="30">
        <v>2024</v>
      </c>
      <c r="D184" s="3" t="s">
        <v>127</v>
      </c>
      <c r="F184" s="4">
        <v>2100</v>
      </c>
      <c r="G184" s="47">
        <f t="shared" si="3"/>
        <v>9879.2700000000077</v>
      </c>
    </row>
    <row r="185" spans="1:44" x14ac:dyDescent="0.25">
      <c r="A185" s="5">
        <v>45552</v>
      </c>
      <c r="B185" s="30" t="s">
        <v>109</v>
      </c>
      <c r="C185" s="30">
        <v>2024</v>
      </c>
      <c r="D185" s="3" t="s">
        <v>128</v>
      </c>
      <c r="F185" s="4">
        <v>1000</v>
      </c>
      <c r="G185" s="47">
        <f t="shared" si="3"/>
        <v>8879.2700000000077</v>
      </c>
    </row>
    <row r="186" spans="1:44" x14ac:dyDescent="0.25">
      <c r="A186" s="5">
        <v>45552</v>
      </c>
      <c r="B186" s="30" t="s">
        <v>109</v>
      </c>
      <c r="C186" s="30">
        <v>2024</v>
      </c>
      <c r="D186" s="3" t="s">
        <v>111</v>
      </c>
      <c r="F186" s="4">
        <v>250</v>
      </c>
      <c r="G186" s="47">
        <f t="shared" si="3"/>
        <v>8629.2700000000077</v>
      </c>
    </row>
    <row r="187" spans="1:44" s="16" customFormat="1" x14ac:dyDescent="0.25">
      <c r="A187" s="5">
        <v>45552</v>
      </c>
      <c r="B187" s="30" t="s">
        <v>109</v>
      </c>
      <c r="C187" s="30">
        <v>2024</v>
      </c>
      <c r="D187" s="8" t="s">
        <v>111</v>
      </c>
      <c r="E187" s="9"/>
      <c r="F187" s="9">
        <v>1270</v>
      </c>
      <c r="G187" s="47">
        <f t="shared" si="3"/>
        <v>7359.2700000000077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spans="1:44" s="16" customFormat="1" x14ac:dyDescent="0.25">
      <c r="A188" s="5">
        <v>45552</v>
      </c>
      <c r="B188" s="30" t="s">
        <v>109</v>
      </c>
      <c r="C188" s="30">
        <v>2024</v>
      </c>
      <c r="D188" s="8" t="s">
        <v>54</v>
      </c>
      <c r="E188" s="9"/>
      <c r="F188" s="9">
        <v>133</v>
      </c>
      <c r="G188" s="47">
        <f t="shared" si="3"/>
        <v>7226.2700000000077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spans="1:44" s="16" customFormat="1" x14ac:dyDescent="0.25">
      <c r="A189" s="5">
        <v>45552</v>
      </c>
      <c r="B189" s="30" t="s">
        <v>109</v>
      </c>
      <c r="C189" s="30">
        <v>2024</v>
      </c>
      <c r="D189" s="8" t="s">
        <v>129</v>
      </c>
      <c r="E189" s="9"/>
      <c r="F189" s="9">
        <v>1150</v>
      </c>
      <c r="G189" s="47">
        <f t="shared" si="3"/>
        <v>6076.2700000000077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spans="1:44" s="16" customFormat="1" x14ac:dyDescent="0.25">
      <c r="A190" s="5">
        <v>45552</v>
      </c>
      <c r="B190" s="30" t="s">
        <v>109</v>
      </c>
      <c r="C190" s="30">
        <v>2024</v>
      </c>
      <c r="D190" s="8" t="s">
        <v>129</v>
      </c>
      <c r="E190" s="9"/>
      <c r="F190" s="9">
        <v>1150</v>
      </c>
      <c r="G190" s="47">
        <f t="shared" si="3"/>
        <v>4926.2700000000077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spans="1:44" s="16" customFormat="1" x14ac:dyDescent="0.25">
      <c r="A191" s="5">
        <v>45552</v>
      </c>
      <c r="B191" s="30" t="s">
        <v>109</v>
      </c>
      <c r="C191" s="30">
        <v>2024</v>
      </c>
      <c r="D191" s="8" t="s">
        <v>28</v>
      </c>
      <c r="E191" s="9"/>
      <c r="F191" s="9">
        <v>150</v>
      </c>
      <c r="G191" s="47">
        <f t="shared" si="3"/>
        <v>4776.2700000000077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spans="1:44" s="16" customFormat="1" x14ac:dyDescent="0.25">
      <c r="A192" s="5">
        <v>45552</v>
      </c>
      <c r="B192" s="30" t="s">
        <v>109</v>
      </c>
      <c r="C192" s="30">
        <v>2024</v>
      </c>
      <c r="D192" s="8" t="s">
        <v>130</v>
      </c>
      <c r="E192" s="9"/>
      <c r="F192" s="9">
        <v>385</v>
      </c>
      <c r="G192" s="47">
        <f t="shared" si="3"/>
        <v>4391.2700000000077</v>
      </c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spans="1:44" x14ac:dyDescent="0.25">
      <c r="A193" s="5">
        <v>45552</v>
      </c>
      <c r="B193" s="30" t="s">
        <v>109</v>
      </c>
      <c r="C193" s="30">
        <v>2024</v>
      </c>
      <c r="D193" s="8" t="s">
        <v>131</v>
      </c>
      <c r="E193" s="9"/>
      <c r="F193" s="9">
        <v>9100</v>
      </c>
      <c r="G193" s="47">
        <f t="shared" si="3"/>
        <v>-4708.7299999999923</v>
      </c>
    </row>
    <row r="194" spans="1:44" x14ac:dyDescent="0.25">
      <c r="A194" s="5">
        <v>45552</v>
      </c>
      <c r="B194" s="30" t="s">
        <v>109</v>
      </c>
      <c r="C194" s="30">
        <v>2024</v>
      </c>
      <c r="D194" s="8" t="s">
        <v>132</v>
      </c>
      <c r="E194" s="9"/>
      <c r="F194" s="9">
        <v>4364</v>
      </c>
      <c r="G194" s="47">
        <f t="shared" si="3"/>
        <v>-9072.7299999999923</v>
      </c>
    </row>
    <row r="195" spans="1:44" x14ac:dyDescent="0.25">
      <c r="A195" s="5">
        <v>45552</v>
      </c>
      <c r="B195" s="30" t="s">
        <v>109</v>
      </c>
      <c r="C195" s="30">
        <v>2024</v>
      </c>
      <c r="D195" s="8" t="s">
        <v>133</v>
      </c>
      <c r="E195" s="9"/>
      <c r="F195" s="9">
        <v>850</v>
      </c>
      <c r="G195" s="47">
        <f t="shared" si="3"/>
        <v>-9922.7299999999923</v>
      </c>
    </row>
    <row r="196" spans="1:44" x14ac:dyDescent="0.25">
      <c r="A196" s="5">
        <v>45552</v>
      </c>
      <c r="B196" s="30" t="s">
        <v>109</v>
      </c>
      <c r="C196" s="30">
        <v>2024</v>
      </c>
      <c r="D196" s="8" t="s">
        <v>133</v>
      </c>
      <c r="E196" s="9"/>
      <c r="F196" s="9">
        <v>742.69</v>
      </c>
      <c r="G196" s="47">
        <f t="shared" si="3"/>
        <v>-10665.419999999993</v>
      </c>
    </row>
    <row r="197" spans="1:44" x14ac:dyDescent="0.25">
      <c r="A197" s="5">
        <v>45552</v>
      </c>
      <c r="B197" s="30" t="s">
        <v>109</v>
      </c>
      <c r="C197" s="30">
        <v>2024</v>
      </c>
      <c r="D197" s="8" t="s">
        <v>65</v>
      </c>
      <c r="E197" s="9"/>
      <c r="F197" s="9">
        <v>415</v>
      </c>
      <c r="G197" s="47">
        <f t="shared" si="3"/>
        <v>-11080.419999999993</v>
      </c>
    </row>
    <row r="198" spans="1:44" s="16" customFormat="1" x14ac:dyDescent="0.25">
      <c r="A198" s="5">
        <v>45552</v>
      </c>
      <c r="B198" s="30" t="s">
        <v>109</v>
      </c>
      <c r="C198" s="30">
        <v>2024</v>
      </c>
      <c r="D198" s="8" t="s">
        <v>65</v>
      </c>
      <c r="E198" s="9"/>
      <c r="F198" s="9">
        <v>177</v>
      </c>
      <c r="G198" s="47">
        <f t="shared" si="3"/>
        <v>-11257.419999999993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spans="1:44" s="16" customFormat="1" x14ac:dyDescent="0.25">
      <c r="A199" s="5">
        <v>45552</v>
      </c>
      <c r="B199" s="30" t="s">
        <v>109</v>
      </c>
      <c r="C199" s="30">
        <v>2024</v>
      </c>
      <c r="D199" s="8" t="s">
        <v>132</v>
      </c>
      <c r="E199" s="9"/>
      <c r="F199" s="9">
        <v>4750</v>
      </c>
      <c r="G199" s="47">
        <f t="shared" si="3"/>
        <v>-16007.419999999993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spans="1:44" s="16" customFormat="1" x14ac:dyDescent="0.25">
      <c r="A200" s="5">
        <v>45552</v>
      </c>
      <c r="B200" s="30" t="s">
        <v>109</v>
      </c>
      <c r="C200" s="30">
        <v>2024</v>
      </c>
      <c r="D200" s="8" t="s">
        <v>65</v>
      </c>
      <c r="E200" s="9"/>
      <c r="F200" s="9">
        <v>405</v>
      </c>
      <c r="G200" s="47">
        <f t="shared" si="3"/>
        <v>-16412.419999999991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spans="1:44" s="16" customFormat="1" x14ac:dyDescent="0.25">
      <c r="A201" s="5">
        <v>45552</v>
      </c>
      <c r="B201" s="30" t="s">
        <v>109</v>
      </c>
      <c r="C201" s="30">
        <v>2024</v>
      </c>
      <c r="D201" s="8" t="s">
        <v>65</v>
      </c>
      <c r="E201" s="9"/>
      <c r="F201" s="9">
        <v>159</v>
      </c>
      <c r="G201" s="47">
        <f t="shared" si="3"/>
        <v>-16571.419999999991</v>
      </c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spans="1:44" x14ac:dyDescent="0.25">
      <c r="A202" s="5">
        <v>45552</v>
      </c>
      <c r="B202" s="30" t="s">
        <v>109</v>
      </c>
      <c r="C202" s="30">
        <v>2024</v>
      </c>
      <c r="D202" s="8" t="s">
        <v>134</v>
      </c>
      <c r="E202" s="9"/>
      <c r="F202" s="9">
        <v>250</v>
      </c>
      <c r="G202" s="47">
        <f t="shared" si="3"/>
        <v>-16821.419999999991</v>
      </c>
    </row>
    <row r="203" spans="1:44" x14ac:dyDescent="0.25">
      <c r="A203" s="5">
        <v>45552</v>
      </c>
      <c r="B203" s="30" t="s">
        <v>109</v>
      </c>
      <c r="C203" s="30">
        <v>2024</v>
      </c>
      <c r="D203" s="8" t="s">
        <v>135</v>
      </c>
      <c r="E203" s="9"/>
      <c r="F203" s="9">
        <v>3700</v>
      </c>
      <c r="G203" s="47">
        <f t="shared" si="3"/>
        <v>-20521.419999999991</v>
      </c>
    </row>
    <row r="204" spans="1:44" x14ac:dyDescent="0.25">
      <c r="A204" s="5">
        <v>45552</v>
      </c>
      <c r="B204" s="30" t="s">
        <v>109</v>
      </c>
      <c r="C204" s="30">
        <v>2024</v>
      </c>
      <c r="D204" s="8" t="s">
        <v>111</v>
      </c>
      <c r="E204" s="9"/>
      <c r="F204" s="9">
        <v>2500</v>
      </c>
      <c r="G204" s="47">
        <f t="shared" si="3"/>
        <v>-23021.419999999991</v>
      </c>
    </row>
    <row r="205" spans="1:44" x14ac:dyDescent="0.25">
      <c r="A205" s="5">
        <v>45552</v>
      </c>
      <c r="B205" s="30" t="s">
        <v>109</v>
      </c>
      <c r="C205" s="30">
        <v>2024</v>
      </c>
      <c r="D205" s="8" t="s">
        <v>136</v>
      </c>
      <c r="E205" s="9"/>
      <c r="F205" s="9">
        <v>2500</v>
      </c>
      <c r="G205" s="47">
        <f t="shared" si="3"/>
        <v>-25521.419999999991</v>
      </c>
    </row>
    <row r="206" spans="1:44" x14ac:dyDescent="0.25">
      <c r="A206" s="5">
        <v>45553</v>
      </c>
      <c r="B206" s="30" t="s">
        <v>109</v>
      </c>
      <c r="C206" s="30">
        <v>2024</v>
      </c>
      <c r="D206" s="41" t="s">
        <v>67</v>
      </c>
      <c r="E206" s="9">
        <v>35000</v>
      </c>
      <c r="F206" s="9"/>
      <c r="G206" s="47">
        <f t="shared" si="3"/>
        <v>9478.580000000009</v>
      </c>
    </row>
    <row r="207" spans="1:44" s="16" customFormat="1" x14ac:dyDescent="0.25">
      <c r="A207" s="5">
        <v>45555</v>
      </c>
      <c r="B207" s="30" t="s">
        <v>109</v>
      </c>
      <c r="C207" s="30">
        <v>2024</v>
      </c>
      <c r="D207" s="8" t="s">
        <v>28</v>
      </c>
      <c r="E207" s="9"/>
      <c r="F207" s="9">
        <v>185</v>
      </c>
      <c r="G207" s="47">
        <f t="shared" ref="G207:G217" si="4">G206+E207-F207</f>
        <v>9293.580000000009</v>
      </c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spans="1:44" s="16" customFormat="1" x14ac:dyDescent="0.25">
      <c r="A208" s="5">
        <v>45555</v>
      </c>
      <c r="B208" s="30" t="s">
        <v>109</v>
      </c>
      <c r="C208" s="30">
        <v>2024</v>
      </c>
      <c r="D208" s="8" t="s">
        <v>137</v>
      </c>
      <c r="E208" s="9"/>
      <c r="F208" s="9">
        <v>470</v>
      </c>
      <c r="G208" s="47">
        <f t="shared" si="4"/>
        <v>8823.580000000009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spans="1:44" s="16" customFormat="1" x14ac:dyDescent="0.25">
      <c r="A209" s="5">
        <v>45555</v>
      </c>
      <c r="B209" s="30" t="s">
        <v>109</v>
      </c>
      <c r="C209" s="30">
        <v>2024</v>
      </c>
      <c r="D209" s="8" t="s">
        <v>137</v>
      </c>
      <c r="E209" s="9"/>
      <c r="F209" s="9">
        <v>150</v>
      </c>
      <c r="G209" s="47">
        <f t="shared" si="4"/>
        <v>8673.580000000009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spans="1:44" x14ac:dyDescent="0.25">
      <c r="A210" s="5">
        <v>45555</v>
      </c>
      <c r="B210" s="30" t="s">
        <v>109</v>
      </c>
      <c r="C210" s="30">
        <v>2024</v>
      </c>
      <c r="D210" s="3" t="s">
        <v>138</v>
      </c>
      <c r="F210" s="4">
        <v>220</v>
      </c>
      <c r="G210" s="47">
        <f t="shared" si="4"/>
        <v>8453.580000000009</v>
      </c>
    </row>
    <row r="211" spans="1:44" s="16" customFormat="1" x14ac:dyDescent="0.25">
      <c r="A211" s="5">
        <v>45555</v>
      </c>
      <c r="B211" s="30" t="s">
        <v>109</v>
      </c>
      <c r="C211" s="30">
        <v>2024</v>
      </c>
      <c r="D211" s="8" t="s">
        <v>139</v>
      </c>
      <c r="E211" s="9"/>
      <c r="F211" s="9">
        <v>710</v>
      </c>
      <c r="G211" s="47">
        <f t="shared" si="4"/>
        <v>7743.580000000009</v>
      </c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spans="1:44" s="16" customFormat="1" x14ac:dyDescent="0.25">
      <c r="A212" s="5">
        <v>45555</v>
      </c>
      <c r="B212" s="30" t="s">
        <v>109</v>
      </c>
      <c r="C212" s="30">
        <v>2024</v>
      </c>
      <c r="D212" s="8" t="s">
        <v>140</v>
      </c>
      <c r="E212" s="9"/>
      <c r="F212" s="9">
        <v>1500</v>
      </c>
      <c r="G212" s="47">
        <f t="shared" si="4"/>
        <v>6243.580000000009</v>
      </c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spans="1:44" s="16" customFormat="1" x14ac:dyDescent="0.25">
      <c r="A213" s="5">
        <v>45555</v>
      </c>
      <c r="B213" s="30" t="s">
        <v>109</v>
      </c>
      <c r="C213" s="30">
        <v>2024</v>
      </c>
      <c r="D213" s="8" t="s">
        <v>141</v>
      </c>
      <c r="E213" s="9"/>
      <c r="F213" s="9">
        <v>135</v>
      </c>
      <c r="G213" s="47">
        <f t="shared" si="4"/>
        <v>6108.580000000009</v>
      </c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spans="1:44" s="16" customFormat="1" x14ac:dyDescent="0.25">
      <c r="A214" s="5">
        <v>45555</v>
      </c>
      <c r="B214" s="30" t="s">
        <v>109</v>
      </c>
      <c r="C214" s="30">
        <v>2024</v>
      </c>
      <c r="D214" s="8" t="s">
        <v>142</v>
      </c>
      <c r="E214" s="9"/>
      <c r="F214" s="9">
        <v>375</v>
      </c>
      <c r="G214" s="47">
        <f t="shared" si="4"/>
        <v>5733.580000000009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spans="1:44" s="16" customFormat="1" x14ac:dyDescent="0.25">
      <c r="A215" s="5">
        <v>45555</v>
      </c>
      <c r="B215" s="30" t="s">
        <v>109</v>
      </c>
      <c r="C215" s="30">
        <v>2024</v>
      </c>
      <c r="D215" s="8" t="s">
        <v>28</v>
      </c>
      <c r="E215" s="9"/>
      <c r="F215" s="9">
        <v>150</v>
      </c>
      <c r="G215" s="47">
        <f t="shared" si="4"/>
        <v>5583.580000000009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spans="1:44" s="16" customFormat="1" x14ac:dyDescent="0.25">
      <c r="A216" s="5">
        <v>45555</v>
      </c>
      <c r="B216" s="30" t="s">
        <v>109</v>
      </c>
      <c r="C216" s="30">
        <v>2024</v>
      </c>
      <c r="D216" s="8" t="s">
        <v>143</v>
      </c>
      <c r="E216" s="9"/>
      <c r="F216" s="9">
        <v>500</v>
      </c>
      <c r="G216" s="47">
        <f t="shared" si="4"/>
        <v>5083.580000000009</v>
      </c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spans="1:44" s="16" customFormat="1" x14ac:dyDescent="0.25">
      <c r="A217" s="5">
        <v>45555</v>
      </c>
      <c r="B217" s="30" t="s">
        <v>109</v>
      </c>
      <c r="C217" s="30">
        <v>2024</v>
      </c>
      <c r="D217" s="10" t="s">
        <v>144</v>
      </c>
      <c r="E217" s="9"/>
      <c r="F217" s="9">
        <v>65</v>
      </c>
      <c r="G217" s="47">
        <f t="shared" si="4"/>
        <v>5018.580000000009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spans="1:44" s="16" customFormat="1" x14ac:dyDescent="0.25">
      <c r="A218" s="5">
        <v>45555</v>
      </c>
      <c r="B218" s="30" t="s">
        <v>109</v>
      </c>
      <c r="C218" s="30">
        <v>2024</v>
      </c>
      <c r="D218" s="10" t="s">
        <v>65</v>
      </c>
      <c r="E218" s="9"/>
      <c r="F218" s="9">
        <v>75</v>
      </c>
      <c r="G218" s="47">
        <f>G217+E218-F218</f>
        <v>4943.580000000009</v>
      </c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spans="1:44" x14ac:dyDescent="0.25">
      <c r="A219" s="5">
        <v>45555</v>
      </c>
      <c r="B219" s="30" t="s">
        <v>109</v>
      </c>
      <c r="C219" s="30">
        <v>2024</v>
      </c>
      <c r="D219" s="2" t="s">
        <v>28</v>
      </c>
      <c r="F219" s="4">
        <v>145</v>
      </c>
      <c r="G219" s="47">
        <f>G218+E219-F219</f>
        <v>4798.580000000009</v>
      </c>
    </row>
    <row r="220" spans="1:44" x14ac:dyDescent="0.25">
      <c r="A220" s="5">
        <v>45555</v>
      </c>
      <c r="B220" s="30" t="s">
        <v>109</v>
      </c>
      <c r="C220" s="30">
        <v>2024</v>
      </c>
      <c r="D220" s="3" t="s">
        <v>145</v>
      </c>
      <c r="F220" s="4">
        <v>2166.31</v>
      </c>
      <c r="G220" s="47">
        <f>G219+E220-F220</f>
        <v>2632.2700000000091</v>
      </c>
    </row>
    <row r="221" spans="1:44" s="16" customFormat="1" x14ac:dyDescent="0.25">
      <c r="A221" s="5">
        <v>45555</v>
      </c>
      <c r="B221" s="30" t="s">
        <v>109</v>
      </c>
      <c r="C221" s="30">
        <v>2024</v>
      </c>
      <c r="D221" s="8" t="s">
        <v>146</v>
      </c>
      <c r="E221" s="9"/>
      <c r="F221" s="9">
        <v>2500</v>
      </c>
      <c r="G221" s="47">
        <f t="shared" ref="G221:G279" si="5">G220+E221-F221</f>
        <v>132.27000000000908</v>
      </c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spans="1:44" s="16" customFormat="1" ht="11.4" customHeight="1" x14ac:dyDescent="0.25">
      <c r="A222" s="5">
        <v>45555</v>
      </c>
      <c r="B222" s="30" t="s">
        <v>109</v>
      </c>
      <c r="C222" s="30">
        <v>2024</v>
      </c>
      <c r="D222" s="8" t="s">
        <v>147</v>
      </c>
      <c r="E222" s="9"/>
      <c r="F222" s="9">
        <v>3000</v>
      </c>
      <c r="G222" s="47">
        <f t="shared" si="5"/>
        <v>-2867.7299999999909</v>
      </c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spans="1:44" x14ac:dyDescent="0.25">
      <c r="A223" s="5">
        <v>45556</v>
      </c>
      <c r="B223" s="30" t="s">
        <v>109</v>
      </c>
      <c r="C223" s="30">
        <v>2024</v>
      </c>
      <c r="D223" s="41" t="s">
        <v>67</v>
      </c>
      <c r="E223" s="9">
        <v>5000</v>
      </c>
      <c r="G223" s="49">
        <f t="shared" si="5"/>
        <v>2132.2700000000091</v>
      </c>
    </row>
    <row r="224" spans="1:44" s="16" customFormat="1" x14ac:dyDescent="0.25">
      <c r="A224" s="5">
        <v>45566</v>
      </c>
      <c r="B224" s="30" t="s">
        <v>154</v>
      </c>
      <c r="C224" s="30">
        <v>2024</v>
      </c>
      <c r="D224" s="8" t="s">
        <v>76</v>
      </c>
      <c r="E224" s="9"/>
      <c r="F224" s="9">
        <v>600</v>
      </c>
      <c r="G224" s="47">
        <f t="shared" si="5"/>
        <v>1532.2700000000091</v>
      </c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spans="1:44" s="16" customFormat="1" x14ac:dyDescent="0.25">
      <c r="A225" s="5">
        <v>45566</v>
      </c>
      <c r="B225" s="30" t="s">
        <v>154</v>
      </c>
      <c r="C225" s="30">
        <v>2024</v>
      </c>
      <c r="D225" s="8" t="s">
        <v>149</v>
      </c>
      <c r="E225" s="9"/>
      <c r="F225" s="9">
        <v>309</v>
      </c>
      <c r="G225" s="47">
        <f t="shared" si="5"/>
        <v>1223.2700000000091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spans="1:44" s="16" customFormat="1" x14ac:dyDescent="0.25">
      <c r="A226" s="5">
        <v>45566</v>
      </c>
      <c r="B226" s="30" t="s">
        <v>154</v>
      </c>
      <c r="C226" s="30">
        <v>2024</v>
      </c>
      <c r="D226" s="8" t="s">
        <v>28</v>
      </c>
      <c r="E226" s="9"/>
      <c r="F226" s="9">
        <v>515</v>
      </c>
      <c r="G226" s="47">
        <f t="shared" si="5"/>
        <v>708.27000000000908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</row>
    <row r="227" spans="1:44" s="16" customFormat="1" x14ac:dyDescent="0.25">
      <c r="A227" s="5">
        <v>45566</v>
      </c>
      <c r="B227" s="30" t="s">
        <v>154</v>
      </c>
      <c r="C227" s="30">
        <v>2024</v>
      </c>
      <c r="D227" s="8" t="s">
        <v>19</v>
      </c>
      <c r="E227" s="9"/>
      <c r="F227" s="9">
        <v>520</v>
      </c>
      <c r="G227" s="47">
        <f t="shared" si="5"/>
        <v>188.27000000000908</v>
      </c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</row>
    <row r="228" spans="1:44" s="16" customFormat="1" x14ac:dyDescent="0.25">
      <c r="A228" s="5">
        <v>45566</v>
      </c>
      <c r="B228" s="30" t="s">
        <v>154</v>
      </c>
      <c r="C228" s="30">
        <v>2024</v>
      </c>
      <c r="D228" s="8" t="s">
        <v>150</v>
      </c>
      <c r="E228" s="9"/>
      <c r="F228" s="9">
        <v>1300</v>
      </c>
      <c r="G228" s="47">
        <f t="shared" si="5"/>
        <v>-1111.7299999999909</v>
      </c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</row>
    <row r="229" spans="1:44" x14ac:dyDescent="0.25">
      <c r="A229" s="5">
        <v>45566</v>
      </c>
      <c r="B229" s="30" t="s">
        <v>154</v>
      </c>
      <c r="C229" s="30">
        <v>2024</v>
      </c>
      <c r="D229" s="3" t="s">
        <v>65</v>
      </c>
      <c r="F229" s="4">
        <v>461</v>
      </c>
      <c r="G229" s="47">
        <f t="shared" si="5"/>
        <v>-1572.7299999999909</v>
      </c>
    </row>
    <row r="230" spans="1:44" x14ac:dyDescent="0.25">
      <c r="A230" s="5">
        <v>45566</v>
      </c>
      <c r="B230" s="30" t="s">
        <v>154</v>
      </c>
      <c r="C230" s="30">
        <v>2024</v>
      </c>
      <c r="D230" s="3" t="s">
        <v>151</v>
      </c>
      <c r="F230" s="4">
        <v>400</v>
      </c>
      <c r="G230" s="47">
        <f t="shared" si="5"/>
        <v>-1972.7299999999909</v>
      </c>
    </row>
    <row r="231" spans="1:44" s="16" customFormat="1" x14ac:dyDescent="0.25">
      <c r="A231" s="5">
        <v>45566</v>
      </c>
      <c r="B231" s="30" t="s">
        <v>154</v>
      </c>
      <c r="C231" s="30">
        <v>2024</v>
      </c>
      <c r="D231" s="8" t="s">
        <v>28</v>
      </c>
      <c r="E231" s="9"/>
      <c r="F231" s="9">
        <v>420</v>
      </c>
      <c r="G231" s="47">
        <f t="shared" si="5"/>
        <v>-2392.7299999999909</v>
      </c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</row>
    <row r="232" spans="1:44" s="16" customFormat="1" x14ac:dyDescent="0.25">
      <c r="A232" s="5">
        <v>45566</v>
      </c>
      <c r="B232" s="30" t="s">
        <v>154</v>
      </c>
      <c r="C232" s="30">
        <v>2024</v>
      </c>
      <c r="D232" s="8" t="s">
        <v>152</v>
      </c>
      <c r="E232" s="9"/>
      <c r="F232" s="9">
        <v>1000</v>
      </c>
      <c r="G232" s="47">
        <f t="shared" si="5"/>
        <v>-3392.7299999999909</v>
      </c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</row>
    <row r="233" spans="1:44" s="16" customFormat="1" x14ac:dyDescent="0.25">
      <c r="A233" s="5">
        <v>45566</v>
      </c>
      <c r="B233" s="30" t="s">
        <v>154</v>
      </c>
      <c r="C233" s="30">
        <v>2024</v>
      </c>
      <c r="D233" s="8" t="s">
        <v>153</v>
      </c>
      <c r="E233" s="9"/>
      <c r="F233" s="9">
        <v>265</v>
      </c>
      <c r="G233" s="47">
        <f t="shared" si="5"/>
        <v>-3657.7299999999909</v>
      </c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</row>
    <row r="234" spans="1:44" s="16" customFormat="1" x14ac:dyDescent="0.25">
      <c r="A234" s="5">
        <v>45566</v>
      </c>
      <c r="B234" s="30" t="s">
        <v>154</v>
      </c>
      <c r="C234" s="30">
        <v>2024</v>
      </c>
      <c r="D234" s="8" t="s">
        <v>153</v>
      </c>
      <c r="E234" s="9"/>
      <c r="F234" s="9">
        <v>332.2</v>
      </c>
      <c r="G234" s="47">
        <f t="shared" si="5"/>
        <v>-3989.9299999999907</v>
      </c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</row>
    <row r="235" spans="1:44" x14ac:dyDescent="0.25">
      <c r="A235" s="5">
        <v>45569</v>
      </c>
      <c r="B235" s="30" t="s">
        <v>154</v>
      </c>
      <c r="C235" s="30">
        <v>2024</v>
      </c>
      <c r="D235" s="3" t="s">
        <v>155</v>
      </c>
      <c r="F235" s="4">
        <v>640</v>
      </c>
      <c r="G235" s="47">
        <f t="shared" si="5"/>
        <v>-4629.9299999999912</v>
      </c>
    </row>
    <row r="236" spans="1:44" x14ac:dyDescent="0.25">
      <c r="A236" s="5">
        <v>45569</v>
      </c>
      <c r="B236" s="30" t="s">
        <v>154</v>
      </c>
      <c r="C236" s="30">
        <v>2024</v>
      </c>
      <c r="D236" s="3" t="s">
        <v>156</v>
      </c>
      <c r="F236" s="4">
        <v>260</v>
      </c>
      <c r="G236" s="47">
        <f t="shared" si="5"/>
        <v>-4889.9299999999912</v>
      </c>
    </row>
    <row r="237" spans="1:44" x14ac:dyDescent="0.25">
      <c r="A237" s="5">
        <v>45569</v>
      </c>
      <c r="B237" s="30" t="s">
        <v>154</v>
      </c>
      <c r="C237" s="30">
        <v>2024</v>
      </c>
      <c r="D237" s="3" t="s">
        <v>157</v>
      </c>
      <c r="F237" s="4">
        <v>174.5</v>
      </c>
      <c r="G237" s="47">
        <f t="shared" si="5"/>
        <v>-5064.4299999999912</v>
      </c>
    </row>
    <row r="238" spans="1:44" s="16" customFormat="1" x14ac:dyDescent="0.25">
      <c r="A238" s="5">
        <v>45569</v>
      </c>
      <c r="B238" s="30" t="s">
        <v>154</v>
      </c>
      <c r="C238" s="30">
        <v>2024</v>
      </c>
      <c r="D238" s="8" t="s">
        <v>158</v>
      </c>
      <c r="E238" s="9"/>
      <c r="F238" s="9">
        <v>380</v>
      </c>
      <c r="G238" s="47">
        <f t="shared" si="5"/>
        <v>-5444.4299999999912</v>
      </c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</row>
    <row r="239" spans="1:44" s="16" customFormat="1" x14ac:dyDescent="0.25">
      <c r="A239" s="5">
        <v>45569</v>
      </c>
      <c r="B239" s="30" t="s">
        <v>154</v>
      </c>
      <c r="C239" s="30">
        <v>2024</v>
      </c>
      <c r="D239" s="8" t="s">
        <v>134</v>
      </c>
      <c r="E239" s="9"/>
      <c r="F239" s="9">
        <v>800</v>
      </c>
      <c r="G239" s="47">
        <f t="shared" si="5"/>
        <v>-6244.4299999999912</v>
      </c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</row>
    <row r="240" spans="1:44" s="16" customFormat="1" x14ac:dyDescent="0.25">
      <c r="A240" s="5">
        <v>45570</v>
      </c>
      <c r="B240" s="30" t="s">
        <v>154</v>
      </c>
      <c r="C240" s="30">
        <v>2024</v>
      </c>
      <c r="D240" s="41" t="s">
        <v>67</v>
      </c>
      <c r="E240" s="9">
        <v>10000</v>
      </c>
      <c r="F240" s="9"/>
      <c r="G240" s="47">
        <f t="shared" si="5"/>
        <v>3755.5700000000088</v>
      </c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</row>
    <row r="241" spans="1:44" x14ac:dyDescent="0.25">
      <c r="A241" s="5">
        <v>45580</v>
      </c>
      <c r="B241" s="30" t="s">
        <v>154</v>
      </c>
      <c r="C241" s="30">
        <v>2024</v>
      </c>
      <c r="D241" s="3" t="s">
        <v>159</v>
      </c>
      <c r="F241" s="4">
        <v>800</v>
      </c>
      <c r="G241" s="47">
        <f t="shared" si="5"/>
        <v>2955.5700000000088</v>
      </c>
    </row>
    <row r="242" spans="1:44" s="16" customFormat="1" x14ac:dyDescent="0.25">
      <c r="A242" s="5">
        <v>45580</v>
      </c>
      <c r="B242" s="30" t="s">
        <v>154</v>
      </c>
      <c r="C242" s="30">
        <v>2024</v>
      </c>
      <c r="D242" s="8" t="s">
        <v>88</v>
      </c>
      <c r="E242" s="9"/>
      <c r="F242" s="9">
        <v>2500</v>
      </c>
      <c r="G242" s="47">
        <f t="shared" si="5"/>
        <v>455.5700000000088</v>
      </c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</row>
    <row r="243" spans="1:44" x14ac:dyDescent="0.25">
      <c r="A243" s="5">
        <v>45580</v>
      </c>
      <c r="B243" s="30" t="s">
        <v>154</v>
      </c>
      <c r="C243" s="30">
        <v>2024</v>
      </c>
      <c r="D243" s="3" t="s">
        <v>160</v>
      </c>
      <c r="F243" s="4">
        <v>500</v>
      </c>
      <c r="G243" s="47">
        <f t="shared" si="5"/>
        <v>-44.429999999991196</v>
      </c>
    </row>
    <row r="244" spans="1:44" x14ac:dyDescent="0.25">
      <c r="A244" s="5">
        <v>45580</v>
      </c>
      <c r="B244" s="30" t="s">
        <v>154</v>
      </c>
      <c r="C244" s="30">
        <v>2024</v>
      </c>
      <c r="D244" s="3" t="s">
        <v>161</v>
      </c>
      <c r="F244" s="4">
        <v>780</v>
      </c>
      <c r="G244" s="47">
        <f t="shared" si="5"/>
        <v>-824.4299999999912</v>
      </c>
    </row>
    <row r="245" spans="1:44" x14ac:dyDescent="0.25">
      <c r="A245" s="5">
        <v>45580</v>
      </c>
      <c r="B245" s="30" t="s">
        <v>154</v>
      </c>
      <c r="C245" s="30">
        <v>2024</v>
      </c>
      <c r="D245" s="3" t="s">
        <v>19</v>
      </c>
      <c r="F245" s="4">
        <v>220</v>
      </c>
      <c r="G245" s="47">
        <f t="shared" si="5"/>
        <v>-1044.4299999999912</v>
      </c>
    </row>
    <row r="246" spans="1:44" x14ac:dyDescent="0.25">
      <c r="A246" s="5">
        <v>45580</v>
      </c>
      <c r="B246" s="30" t="s">
        <v>154</v>
      </c>
      <c r="C246" s="30">
        <v>2024</v>
      </c>
      <c r="D246" s="3" t="s">
        <v>65</v>
      </c>
      <c r="F246" s="4">
        <v>210</v>
      </c>
      <c r="G246" s="47">
        <f t="shared" si="5"/>
        <v>-1254.4299999999912</v>
      </c>
    </row>
    <row r="247" spans="1:44" x14ac:dyDescent="0.25">
      <c r="A247" s="5">
        <v>45587</v>
      </c>
      <c r="B247" s="30" t="s">
        <v>154</v>
      </c>
      <c r="C247" s="30">
        <v>2024</v>
      </c>
      <c r="D247" s="3" t="s">
        <v>162</v>
      </c>
      <c r="F247" s="4">
        <v>1000</v>
      </c>
      <c r="G247" s="47">
        <f t="shared" si="5"/>
        <v>-2254.4299999999912</v>
      </c>
    </row>
    <row r="248" spans="1:44" x14ac:dyDescent="0.25">
      <c r="A248" s="5">
        <v>45587</v>
      </c>
      <c r="B248" s="30" t="s">
        <v>154</v>
      </c>
      <c r="C248" s="30">
        <v>2024</v>
      </c>
      <c r="D248" s="3" t="s">
        <v>163</v>
      </c>
      <c r="F248" s="4">
        <v>1300</v>
      </c>
      <c r="G248" s="47">
        <f t="shared" si="5"/>
        <v>-3554.4299999999912</v>
      </c>
    </row>
    <row r="249" spans="1:44" x14ac:dyDescent="0.25">
      <c r="A249" s="5">
        <v>45587</v>
      </c>
      <c r="B249" s="30" t="s">
        <v>154</v>
      </c>
      <c r="C249" s="30">
        <v>2024</v>
      </c>
      <c r="D249" s="8" t="s">
        <v>19</v>
      </c>
      <c r="F249" s="4">
        <v>195</v>
      </c>
      <c r="G249" s="47">
        <f t="shared" si="5"/>
        <v>-3749.4299999999912</v>
      </c>
    </row>
    <row r="250" spans="1:44" x14ac:dyDescent="0.25">
      <c r="A250" s="5">
        <v>45587</v>
      </c>
      <c r="B250" s="30" t="s">
        <v>154</v>
      </c>
      <c r="C250" s="30">
        <v>2024</v>
      </c>
      <c r="D250" s="8" t="s">
        <v>164</v>
      </c>
      <c r="F250" s="4">
        <v>700</v>
      </c>
      <c r="G250" s="47">
        <f t="shared" si="5"/>
        <v>-4449.4299999999912</v>
      </c>
    </row>
    <row r="251" spans="1:44" x14ac:dyDescent="0.25">
      <c r="A251" s="5">
        <v>45587</v>
      </c>
      <c r="B251" s="30" t="s">
        <v>154</v>
      </c>
      <c r="C251" s="30">
        <v>2024</v>
      </c>
      <c r="D251" s="8" t="s">
        <v>165</v>
      </c>
      <c r="F251" s="4">
        <v>369</v>
      </c>
      <c r="G251" s="47">
        <f t="shared" si="5"/>
        <v>-4818.4299999999912</v>
      </c>
    </row>
    <row r="252" spans="1:44" x14ac:dyDescent="0.25">
      <c r="A252" s="5">
        <v>45587</v>
      </c>
      <c r="B252" s="30" t="s">
        <v>154</v>
      </c>
      <c r="C252" s="30">
        <v>2024</v>
      </c>
      <c r="D252" s="3" t="s">
        <v>166</v>
      </c>
      <c r="F252" s="4">
        <v>233.9</v>
      </c>
      <c r="G252" s="49">
        <f t="shared" si="5"/>
        <v>-5052.3299999999908</v>
      </c>
    </row>
    <row r="253" spans="1:44" x14ac:dyDescent="0.25">
      <c r="A253" s="5">
        <v>45587</v>
      </c>
      <c r="B253" s="30" t="s">
        <v>154</v>
      </c>
      <c r="C253" s="30">
        <v>2024</v>
      </c>
      <c r="D253" s="3" t="s">
        <v>167</v>
      </c>
      <c r="F253" s="4">
        <v>220</v>
      </c>
      <c r="G253" s="47">
        <f t="shared" si="5"/>
        <v>-5272.3299999999908</v>
      </c>
    </row>
    <row r="254" spans="1:44" x14ac:dyDescent="0.25">
      <c r="A254" s="5">
        <v>45587</v>
      </c>
      <c r="B254" s="30" t="s">
        <v>154</v>
      </c>
      <c r="C254" s="30">
        <v>2024</v>
      </c>
      <c r="D254" s="3" t="s">
        <v>168</v>
      </c>
      <c r="F254" s="4">
        <v>5000</v>
      </c>
      <c r="G254" s="47">
        <f t="shared" si="5"/>
        <v>-10272.329999999991</v>
      </c>
    </row>
    <row r="255" spans="1:44" x14ac:dyDescent="0.25">
      <c r="A255" s="5">
        <v>45587</v>
      </c>
      <c r="B255" s="30" t="s">
        <v>154</v>
      </c>
      <c r="C255" s="30">
        <v>2024</v>
      </c>
      <c r="D255" s="3" t="s">
        <v>168</v>
      </c>
      <c r="F255" s="4">
        <v>4300</v>
      </c>
      <c r="G255" s="47">
        <f t="shared" si="5"/>
        <v>-14572.329999999991</v>
      </c>
    </row>
    <row r="256" spans="1:44" x14ac:dyDescent="0.25">
      <c r="A256" s="5">
        <v>45587</v>
      </c>
      <c r="B256" s="30" t="s">
        <v>154</v>
      </c>
      <c r="C256" s="30">
        <v>2024</v>
      </c>
      <c r="D256" s="3" t="s">
        <v>168</v>
      </c>
      <c r="F256" s="4">
        <v>120</v>
      </c>
      <c r="G256" s="47">
        <f t="shared" si="5"/>
        <v>-14692.329999999991</v>
      </c>
    </row>
    <row r="257" spans="1:44" x14ac:dyDescent="0.25">
      <c r="A257" s="5">
        <v>45587</v>
      </c>
      <c r="B257" s="30" t="s">
        <v>154</v>
      </c>
      <c r="C257" s="30">
        <v>2024</v>
      </c>
      <c r="D257" s="3" t="s">
        <v>168</v>
      </c>
      <c r="F257" s="4">
        <v>340</v>
      </c>
      <c r="G257" s="47">
        <f t="shared" si="5"/>
        <v>-15032.329999999991</v>
      </c>
    </row>
    <row r="258" spans="1:44" x14ac:dyDescent="0.25">
      <c r="A258" s="5">
        <v>45587</v>
      </c>
      <c r="B258" s="30" t="s">
        <v>154</v>
      </c>
      <c r="C258" s="30">
        <v>2024</v>
      </c>
      <c r="D258" s="3" t="s">
        <v>168</v>
      </c>
      <c r="F258" s="4">
        <v>2000</v>
      </c>
      <c r="G258" s="47">
        <f t="shared" si="5"/>
        <v>-17032.329999999991</v>
      </c>
    </row>
    <row r="259" spans="1:44" x14ac:dyDescent="0.25">
      <c r="A259" s="5">
        <v>45587</v>
      </c>
      <c r="B259" s="30" t="s">
        <v>154</v>
      </c>
      <c r="C259" s="30">
        <v>2024</v>
      </c>
      <c r="D259" s="3" t="s">
        <v>65</v>
      </c>
      <c r="F259" s="4">
        <v>533</v>
      </c>
      <c r="G259" s="47">
        <f t="shared" si="5"/>
        <v>-17565.329999999991</v>
      </c>
    </row>
    <row r="260" spans="1:44" x14ac:dyDescent="0.25">
      <c r="A260" s="5">
        <v>45587</v>
      </c>
      <c r="B260" s="30" t="s">
        <v>154</v>
      </c>
      <c r="C260" s="30">
        <v>2024</v>
      </c>
      <c r="D260" s="8" t="s">
        <v>169</v>
      </c>
      <c r="F260" s="4">
        <v>1000</v>
      </c>
      <c r="G260" s="47">
        <f t="shared" si="5"/>
        <v>-18565.329999999991</v>
      </c>
    </row>
    <row r="261" spans="1:44" ht="12.6" customHeight="1" x14ac:dyDescent="0.25">
      <c r="A261" s="5">
        <v>45593</v>
      </c>
      <c r="B261" s="30" t="s">
        <v>154</v>
      </c>
      <c r="C261" s="30">
        <v>2024</v>
      </c>
      <c r="D261" s="41" t="s">
        <v>67</v>
      </c>
      <c r="E261" s="47">
        <v>20000</v>
      </c>
      <c r="G261" s="47">
        <f t="shared" si="5"/>
        <v>1434.6700000000092</v>
      </c>
    </row>
    <row r="262" spans="1:44" s="16" customFormat="1" x14ac:dyDescent="0.25">
      <c r="A262" s="5">
        <v>45601</v>
      </c>
      <c r="B262" s="30" t="s">
        <v>170</v>
      </c>
      <c r="C262" s="30">
        <v>2024</v>
      </c>
      <c r="D262" s="8" t="s">
        <v>147</v>
      </c>
      <c r="E262" s="19"/>
      <c r="F262" s="19">
        <v>2250</v>
      </c>
      <c r="G262" s="47">
        <f t="shared" si="5"/>
        <v>-815.32999999999083</v>
      </c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</row>
    <row r="263" spans="1:44" s="16" customFormat="1" x14ac:dyDescent="0.25">
      <c r="A263" s="5">
        <v>45601</v>
      </c>
      <c r="B263" s="30" t="s">
        <v>170</v>
      </c>
      <c r="C263" s="30">
        <v>2024</v>
      </c>
      <c r="D263" s="8" t="s">
        <v>171</v>
      </c>
      <c r="E263" s="9"/>
      <c r="F263" s="9">
        <v>125</v>
      </c>
      <c r="G263" s="47">
        <f t="shared" si="5"/>
        <v>-940.32999999999083</v>
      </c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</row>
    <row r="264" spans="1:44" s="18" customFormat="1" x14ac:dyDescent="0.25">
      <c r="A264" s="5">
        <v>45601</v>
      </c>
      <c r="B264" s="30" t="s">
        <v>170</v>
      </c>
      <c r="C264" s="30">
        <v>2024</v>
      </c>
      <c r="D264" s="20" t="s">
        <v>65</v>
      </c>
      <c r="E264" s="19"/>
      <c r="F264" s="19">
        <v>400</v>
      </c>
      <c r="G264" s="47">
        <f t="shared" si="5"/>
        <v>-1340.3299999999908</v>
      </c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</row>
    <row r="265" spans="1:44" s="18" customFormat="1" x14ac:dyDescent="0.25">
      <c r="A265" s="5">
        <v>45601</v>
      </c>
      <c r="B265" s="30" t="s">
        <v>170</v>
      </c>
      <c r="C265" s="30">
        <v>2024</v>
      </c>
      <c r="D265" s="20" t="s">
        <v>172</v>
      </c>
      <c r="E265" s="19"/>
      <c r="F265" s="19">
        <v>1339</v>
      </c>
      <c r="G265" s="47">
        <f t="shared" si="5"/>
        <v>-2679.3299999999908</v>
      </c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</row>
    <row r="266" spans="1:44" s="18" customFormat="1" x14ac:dyDescent="0.25">
      <c r="A266" s="5">
        <v>45601</v>
      </c>
      <c r="B266" s="30" t="s">
        <v>170</v>
      </c>
      <c r="C266" s="30">
        <v>2024</v>
      </c>
      <c r="D266" s="20" t="s">
        <v>65</v>
      </c>
      <c r="E266" s="19"/>
      <c r="F266" s="19">
        <v>1090</v>
      </c>
      <c r="G266" s="47">
        <f t="shared" si="5"/>
        <v>-3769.3299999999908</v>
      </c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</row>
    <row r="267" spans="1:44" s="16" customFormat="1" x14ac:dyDescent="0.25">
      <c r="A267" s="5">
        <v>45601</v>
      </c>
      <c r="B267" s="30" t="s">
        <v>170</v>
      </c>
      <c r="C267" s="30">
        <v>2024</v>
      </c>
      <c r="D267" s="20" t="s">
        <v>173</v>
      </c>
      <c r="E267" s="19"/>
      <c r="F267" s="19">
        <v>250</v>
      </c>
      <c r="G267" s="47">
        <f t="shared" si="5"/>
        <v>-4019.3299999999908</v>
      </c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</row>
    <row r="268" spans="1:44" s="16" customFormat="1" x14ac:dyDescent="0.25">
      <c r="A268" s="5">
        <v>45601</v>
      </c>
      <c r="B268" s="30" t="s">
        <v>170</v>
      </c>
      <c r="C268" s="30">
        <v>2024</v>
      </c>
      <c r="D268" s="20" t="s">
        <v>174</v>
      </c>
      <c r="E268" s="19"/>
      <c r="F268" s="19">
        <v>437</v>
      </c>
      <c r="G268" s="47">
        <f t="shared" si="5"/>
        <v>-4456.3299999999908</v>
      </c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</row>
    <row r="269" spans="1:44" s="16" customFormat="1" x14ac:dyDescent="0.25">
      <c r="A269" s="5">
        <v>45601</v>
      </c>
      <c r="B269" s="30" t="s">
        <v>170</v>
      </c>
      <c r="C269" s="30">
        <v>2024</v>
      </c>
      <c r="D269" s="20" t="s">
        <v>54</v>
      </c>
      <c r="E269" s="19"/>
      <c r="F269" s="19">
        <v>137.5</v>
      </c>
      <c r="G269" s="47">
        <f t="shared" si="5"/>
        <v>-4593.8299999999908</v>
      </c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</row>
    <row r="270" spans="1:44" s="18" customFormat="1" x14ac:dyDescent="0.25">
      <c r="A270" s="5">
        <v>45601</v>
      </c>
      <c r="B270" s="30" t="s">
        <v>170</v>
      </c>
      <c r="C270" s="30">
        <v>2024</v>
      </c>
      <c r="D270" s="20" t="s">
        <v>175</v>
      </c>
      <c r="E270" s="19"/>
      <c r="F270" s="19">
        <v>680</v>
      </c>
      <c r="G270" s="47">
        <f t="shared" si="5"/>
        <v>-5273.8299999999908</v>
      </c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</row>
    <row r="271" spans="1:44" s="16" customFormat="1" x14ac:dyDescent="0.25">
      <c r="A271" s="5">
        <v>45601</v>
      </c>
      <c r="B271" s="30" t="s">
        <v>170</v>
      </c>
      <c r="C271" s="30">
        <v>2024</v>
      </c>
      <c r="D271" s="20" t="s">
        <v>176</v>
      </c>
      <c r="E271" s="19"/>
      <c r="F271" s="19">
        <v>730</v>
      </c>
      <c r="G271" s="47">
        <f t="shared" si="5"/>
        <v>-6003.8299999999908</v>
      </c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</row>
    <row r="272" spans="1:44" s="18" customFormat="1" x14ac:dyDescent="0.25">
      <c r="A272" s="5">
        <v>45601</v>
      </c>
      <c r="B272" s="30" t="s">
        <v>170</v>
      </c>
      <c r="C272" s="30">
        <v>2024</v>
      </c>
      <c r="D272" s="20" t="s">
        <v>146</v>
      </c>
      <c r="E272" s="19"/>
      <c r="F272" s="19">
        <v>3000</v>
      </c>
      <c r="G272" s="47">
        <f t="shared" si="5"/>
        <v>-9003.8299999999908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</row>
    <row r="273" spans="1:44" s="18" customFormat="1" x14ac:dyDescent="0.25">
      <c r="A273" s="5">
        <v>45601</v>
      </c>
      <c r="B273" s="30" t="s">
        <v>170</v>
      </c>
      <c r="C273" s="30">
        <v>2024</v>
      </c>
      <c r="D273" s="20" t="s">
        <v>177</v>
      </c>
      <c r="E273" s="19"/>
      <c r="F273" s="19">
        <v>480</v>
      </c>
      <c r="G273" s="47">
        <f t="shared" si="5"/>
        <v>-9483.8299999999908</v>
      </c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</row>
    <row r="274" spans="1:44" s="18" customFormat="1" x14ac:dyDescent="0.25">
      <c r="A274" s="5">
        <v>45601</v>
      </c>
      <c r="B274" s="30" t="s">
        <v>170</v>
      </c>
      <c r="C274" s="30">
        <v>2024</v>
      </c>
      <c r="D274" s="41" t="s">
        <v>67</v>
      </c>
      <c r="E274" s="47">
        <v>15000</v>
      </c>
      <c r="F274" s="19"/>
      <c r="G274" s="47">
        <f t="shared" si="5"/>
        <v>5516.1700000000092</v>
      </c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</row>
    <row r="275" spans="1:44" s="18" customFormat="1" x14ac:dyDescent="0.25">
      <c r="A275" s="5">
        <v>45604</v>
      </c>
      <c r="B275" s="30" t="s">
        <v>170</v>
      </c>
      <c r="C275" s="30">
        <v>2024</v>
      </c>
      <c r="D275" s="20" t="s">
        <v>178</v>
      </c>
      <c r="E275" s="19"/>
      <c r="F275" s="19">
        <v>1540</v>
      </c>
      <c r="G275" s="47">
        <f t="shared" si="5"/>
        <v>3976.1700000000092</v>
      </c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</row>
    <row r="276" spans="1:44" s="18" customFormat="1" x14ac:dyDescent="0.25">
      <c r="A276" s="5">
        <v>45604</v>
      </c>
      <c r="B276" s="30" t="s">
        <v>170</v>
      </c>
      <c r="C276" s="30">
        <v>2024</v>
      </c>
      <c r="D276" s="20" t="s">
        <v>179</v>
      </c>
      <c r="E276" s="19"/>
      <c r="F276" s="19">
        <v>5000</v>
      </c>
      <c r="G276" s="47">
        <f t="shared" si="5"/>
        <v>-1023.8299999999908</v>
      </c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</row>
    <row r="277" spans="1:44" s="18" customFormat="1" x14ac:dyDescent="0.25">
      <c r="A277" s="5">
        <v>45604</v>
      </c>
      <c r="B277" s="30" t="s">
        <v>170</v>
      </c>
      <c r="C277" s="30">
        <v>2024</v>
      </c>
      <c r="D277" s="20" t="s">
        <v>179</v>
      </c>
      <c r="E277" s="19"/>
      <c r="F277" s="19">
        <v>6900</v>
      </c>
      <c r="G277" s="47">
        <f t="shared" si="5"/>
        <v>-7923.8299999999908</v>
      </c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</row>
    <row r="278" spans="1:44" s="18" customFormat="1" x14ac:dyDescent="0.25">
      <c r="A278" s="5">
        <v>45604</v>
      </c>
      <c r="B278" s="30" t="s">
        <v>170</v>
      </c>
      <c r="C278" s="30">
        <v>2024</v>
      </c>
      <c r="D278" s="20" t="s">
        <v>180</v>
      </c>
      <c r="E278" s="19"/>
      <c r="F278" s="19">
        <v>1700</v>
      </c>
      <c r="G278" s="47">
        <f t="shared" si="5"/>
        <v>-9623.8299999999908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</row>
    <row r="279" spans="1:44" x14ac:dyDescent="0.25">
      <c r="A279" s="5">
        <v>45604</v>
      </c>
      <c r="B279" s="30" t="s">
        <v>170</v>
      </c>
      <c r="C279" s="30">
        <v>2024</v>
      </c>
      <c r="D279" s="20" t="s">
        <v>180</v>
      </c>
      <c r="F279" s="4">
        <v>158</v>
      </c>
      <c r="G279" s="49">
        <f t="shared" si="5"/>
        <v>-9781.8299999999908</v>
      </c>
    </row>
    <row r="280" spans="1:44" x14ac:dyDescent="0.25">
      <c r="A280" s="5">
        <v>45604</v>
      </c>
      <c r="B280" s="30" t="s">
        <v>170</v>
      </c>
      <c r="C280" s="30">
        <v>2024</v>
      </c>
      <c r="D280" s="3" t="s">
        <v>65</v>
      </c>
      <c r="F280" s="4">
        <v>1000</v>
      </c>
      <c r="G280" s="49">
        <f>G279+E280-F280</f>
        <v>-10781.829999999991</v>
      </c>
    </row>
    <row r="281" spans="1:44" x14ac:dyDescent="0.25">
      <c r="A281" s="5">
        <v>45604</v>
      </c>
      <c r="B281" s="30" t="s">
        <v>170</v>
      </c>
      <c r="C281" s="30">
        <v>2024</v>
      </c>
      <c r="D281" s="41" t="s">
        <v>67</v>
      </c>
      <c r="E281" s="47">
        <v>15000</v>
      </c>
      <c r="G281" s="49">
        <f t="shared" ref="G281:G347" si="6">G280+E281-F281</f>
        <v>4218.1700000000092</v>
      </c>
    </row>
    <row r="282" spans="1:44" x14ac:dyDescent="0.25">
      <c r="A282" s="5">
        <v>45611</v>
      </c>
      <c r="B282" s="30" t="s">
        <v>170</v>
      </c>
      <c r="C282" s="30">
        <v>2024</v>
      </c>
      <c r="D282" s="3" t="s">
        <v>95</v>
      </c>
      <c r="F282" s="4">
        <v>1540</v>
      </c>
      <c r="G282" s="49">
        <f t="shared" si="6"/>
        <v>2678.1700000000092</v>
      </c>
    </row>
    <row r="283" spans="1:44" x14ac:dyDescent="0.25">
      <c r="A283" s="5">
        <v>45611</v>
      </c>
      <c r="B283" s="30" t="s">
        <v>170</v>
      </c>
      <c r="C283" s="30">
        <v>2024</v>
      </c>
      <c r="D283" s="3" t="s">
        <v>19</v>
      </c>
      <c r="F283" s="4">
        <v>1050</v>
      </c>
      <c r="G283" s="49">
        <f t="shared" si="6"/>
        <v>1628.1700000000092</v>
      </c>
    </row>
    <row r="284" spans="1:44" x14ac:dyDescent="0.25">
      <c r="A284" s="5">
        <v>45611</v>
      </c>
      <c r="B284" s="30" t="s">
        <v>170</v>
      </c>
      <c r="C284" s="30">
        <v>2024</v>
      </c>
      <c r="D284" s="3" t="s">
        <v>181</v>
      </c>
      <c r="F284" s="4">
        <v>600</v>
      </c>
      <c r="G284" s="49">
        <f t="shared" si="6"/>
        <v>1028.1700000000092</v>
      </c>
    </row>
    <row r="285" spans="1:44" x14ac:dyDescent="0.25">
      <c r="A285" s="5">
        <v>45617</v>
      </c>
      <c r="B285" s="30" t="s">
        <v>170</v>
      </c>
      <c r="C285" s="30">
        <v>2024</v>
      </c>
      <c r="D285" s="41" t="s">
        <v>67</v>
      </c>
      <c r="E285" s="47">
        <v>20000</v>
      </c>
      <c r="G285" s="49">
        <f t="shared" si="6"/>
        <v>21028.170000000009</v>
      </c>
    </row>
    <row r="286" spans="1:44" x14ac:dyDescent="0.25">
      <c r="A286" s="5">
        <v>45622</v>
      </c>
      <c r="B286" s="30" t="s">
        <v>170</v>
      </c>
      <c r="C286" s="30">
        <v>2024</v>
      </c>
      <c r="D286" s="3" t="s">
        <v>182</v>
      </c>
      <c r="F286" s="4">
        <v>2077.6</v>
      </c>
      <c r="G286" s="49">
        <f t="shared" si="6"/>
        <v>18950.570000000011</v>
      </c>
    </row>
    <row r="287" spans="1:44" x14ac:dyDescent="0.25">
      <c r="A287" s="5">
        <v>45622</v>
      </c>
      <c r="B287" s="30" t="s">
        <v>170</v>
      </c>
      <c r="C287" s="30">
        <v>2024</v>
      </c>
      <c r="D287" s="3" t="s">
        <v>183</v>
      </c>
      <c r="F287" s="4">
        <v>10300</v>
      </c>
      <c r="G287" s="49">
        <f t="shared" si="6"/>
        <v>8650.5700000000106</v>
      </c>
    </row>
    <row r="288" spans="1:44" x14ac:dyDescent="0.25">
      <c r="A288" s="5">
        <v>45622</v>
      </c>
      <c r="B288" s="30" t="s">
        <v>170</v>
      </c>
      <c r="C288" s="30">
        <v>2024</v>
      </c>
      <c r="D288" s="3" t="s">
        <v>146</v>
      </c>
      <c r="F288" s="4">
        <v>3500</v>
      </c>
      <c r="G288" s="49">
        <f t="shared" si="6"/>
        <v>5150.5700000000106</v>
      </c>
    </row>
    <row r="289" spans="1:44" x14ac:dyDescent="0.25">
      <c r="A289" s="5">
        <v>45622</v>
      </c>
      <c r="B289" s="30" t="s">
        <v>170</v>
      </c>
      <c r="C289" s="30">
        <v>2024</v>
      </c>
      <c r="D289" s="3" t="s">
        <v>184</v>
      </c>
      <c r="F289" s="4">
        <v>1817</v>
      </c>
      <c r="G289" s="49">
        <f t="shared" si="6"/>
        <v>3333.5700000000106</v>
      </c>
    </row>
    <row r="290" spans="1:44" x14ac:dyDescent="0.25">
      <c r="A290" s="5">
        <v>45622</v>
      </c>
      <c r="B290" s="30" t="s">
        <v>170</v>
      </c>
      <c r="C290" s="30">
        <v>2024</v>
      </c>
      <c r="D290" s="3" t="s">
        <v>185</v>
      </c>
      <c r="F290" s="4">
        <v>377.5</v>
      </c>
      <c r="G290" s="49">
        <f t="shared" si="6"/>
        <v>2956.0700000000106</v>
      </c>
    </row>
    <row r="291" spans="1:44" x14ac:dyDescent="0.25">
      <c r="A291" s="5">
        <v>45622</v>
      </c>
      <c r="B291" s="30" t="s">
        <v>170</v>
      </c>
      <c r="C291" s="30">
        <v>2024</v>
      </c>
      <c r="D291" s="3" t="s">
        <v>186</v>
      </c>
      <c r="F291" s="4">
        <v>300</v>
      </c>
      <c r="G291" s="49">
        <f t="shared" si="6"/>
        <v>2656.0700000000106</v>
      </c>
    </row>
    <row r="292" spans="1:44" x14ac:dyDescent="0.25">
      <c r="A292" s="5">
        <v>45622</v>
      </c>
      <c r="B292" s="30" t="s">
        <v>170</v>
      </c>
      <c r="C292" s="30">
        <v>2024</v>
      </c>
      <c r="D292" s="3" t="s">
        <v>19</v>
      </c>
      <c r="F292" s="4">
        <v>120</v>
      </c>
      <c r="G292" s="49">
        <f t="shared" si="6"/>
        <v>2536.0700000000106</v>
      </c>
    </row>
    <row r="293" spans="1:44" x14ac:dyDescent="0.25">
      <c r="A293" s="5">
        <v>45622</v>
      </c>
      <c r="B293" s="30" t="s">
        <v>170</v>
      </c>
      <c r="C293" s="30">
        <v>2024</v>
      </c>
      <c r="D293" s="3" t="s">
        <v>187</v>
      </c>
      <c r="F293" s="4">
        <v>800</v>
      </c>
      <c r="G293" s="49">
        <f t="shared" si="6"/>
        <v>1736.0700000000106</v>
      </c>
    </row>
    <row r="294" spans="1:44" x14ac:dyDescent="0.25">
      <c r="A294" s="5">
        <v>45622</v>
      </c>
      <c r="B294" s="30" t="s">
        <v>170</v>
      </c>
      <c r="C294" s="30">
        <v>2024</v>
      </c>
      <c r="D294" s="3" t="s">
        <v>54</v>
      </c>
      <c r="F294" s="4">
        <v>470</v>
      </c>
      <c r="G294" s="49">
        <f t="shared" si="6"/>
        <v>1266.0700000000106</v>
      </c>
    </row>
    <row r="295" spans="1:44" x14ac:dyDescent="0.25">
      <c r="A295" s="5">
        <v>45622</v>
      </c>
      <c r="B295" s="30" t="s">
        <v>170</v>
      </c>
      <c r="C295" s="30">
        <v>2024</v>
      </c>
      <c r="D295" s="3" t="s">
        <v>113</v>
      </c>
      <c r="F295" s="4">
        <v>600</v>
      </c>
      <c r="G295" s="49">
        <f t="shared" si="6"/>
        <v>666.07000000001062</v>
      </c>
    </row>
    <row r="296" spans="1:44" x14ac:dyDescent="0.25">
      <c r="A296" s="5">
        <v>45622</v>
      </c>
      <c r="B296" s="30" t="s">
        <v>170</v>
      </c>
      <c r="C296" s="30">
        <v>2024</v>
      </c>
      <c r="D296" s="3" t="s">
        <v>85</v>
      </c>
      <c r="F296" s="4">
        <v>500</v>
      </c>
      <c r="G296" s="49">
        <f t="shared" si="6"/>
        <v>166.07000000001062</v>
      </c>
    </row>
    <row r="297" spans="1:44" s="16" customFormat="1" x14ac:dyDescent="0.25">
      <c r="A297" s="5">
        <v>45622</v>
      </c>
      <c r="B297" s="30" t="s">
        <v>170</v>
      </c>
      <c r="C297" s="30">
        <v>2024</v>
      </c>
      <c r="D297" s="8" t="s">
        <v>188</v>
      </c>
      <c r="E297" s="9"/>
      <c r="F297" s="9">
        <v>350</v>
      </c>
      <c r="G297" s="49">
        <f t="shared" si="6"/>
        <v>-183.92999999998938</v>
      </c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</row>
    <row r="298" spans="1:44" s="16" customFormat="1" x14ac:dyDescent="0.25">
      <c r="A298" s="5">
        <v>45622</v>
      </c>
      <c r="B298" s="30" t="s">
        <v>170</v>
      </c>
      <c r="C298" s="30">
        <v>2024</v>
      </c>
      <c r="D298" s="41" t="s">
        <v>67</v>
      </c>
      <c r="E298" s="47">
        <v>5000</v>
      </c>
      <c r="F298" s="9"/>
      <c r="G298" s="49">
        <f t="shared" si="6"/>
        <v>4816.0700000000106</v>
      </c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</row>
    <row r="299" spans="1:44" x14ac:dyDescent="0.25">
      <c r="A299" s="5">
        <v>45629</v>
      </c>
      <c r="B299" s="30" t="s">
        <v>189</v>
      </c>
      <c r="C299" s="30">
        <v>2024</v>
      </c>
      <c r="D299" s="20" t="s">
        <v>190</v>
      </c>
      <c r="F299" s="4">
        <v>1540</v>
      </c>
      <c r="G299" s="49">
        <f t="shared" si="6"/>
        <v>3276.0700000000106</v>
      </c>
    </row>
    <row r="300" spans="1:44" x14ac:dyDescent="0.25">
      <c r="A300" s="5">
        <v>45629</v>
      </c>
      <c r="B300" s="30" t="s">
        <v>189</v>
      </c>
      <c r="C300" s="30">
        <v>2024</v>
      </c>
      <c r="D300" s="3" t="s">
        <v>191</v>
      </c>
      <c r="F300" s="4">
        <v>3000</v>
      </c>
      <c r="G300" s="49">
        <f t="shared" si="6"/>
        <v>276.07000000001062</v>
      </c>
    </row>
    <row r="301" spans="1:44" x14ac:dyDescent="0.25">
      <c r="A301" s="5">
        <v>45629</v>
      </c>
      <c r="B301" s="30" t="s">
        <v>189</v>
      </c>
      <c r="C301" s="30">
        <v>2024</v>
      </c>
      <c r="D301" s="8" t="s">
        <v>65</v>
      </c>
      <c r="F301" s="4">
        <v>1540</v>
      </c>
      <c r="G301" s="49">
        <f t="shared" si="6"/>
        <v>-1263.9299999999894</v>
      </c>
    </row>
    <row r="302" spans="1:44" x14ac:dyDescent="0.25">
      <c r="A302" s="5">
        <v>45629</v>
      </c>
      <c r="B302" s="30" t="s">
        <v>189</v>
      </c>
      <c r="C302" s="30">
        <v>2024</v>
      </c>
      <c r="D302" s="3" t="s">
        <v>192</v>
      </c>
      <c r="F302" s="4">
        <v>600</v>
      </c>
      <c r="G302" s="49">
        <f t="shared" si="6"/>
        <v>-1863.9299999999894</v>
      </c>
    </row>
    <row r="303" spans="1:44" x14ac:dyDescent="0.25">
      <c r="A303" s="5">
        <v>45629</v>
      </c>
      <c r="B303" s="30" t="s">
        <v>189</v>
      </c>
      <c r="C303" s="30">
        <v>2024</v>
      </c>
      <c r="D303" s="3" t="s">
        <v>193</v>
      </c>
      <c r="F303" s="4">
        <v>733</v>
      </c>
      <c r="G303" s="49">
        <f t="shared" si="6"/>
        <v>-2596.9299999999894</v>
      </c>
    </row>
    <row r="304" spans="1:44" x14ac:dyDescent="0.25">
      <c r="A304" s="5">
        <v>45629</v>
      </c>
      <c r="B304" s="30" t="s">
        <v>189</v>
      </c>
      <c r="C304" s="30">
        <v>2024</v>
      </c>
      <c r="D304" s="3" t="s">
        <v>85</v>
      </c>
      <c r="F304" s="4">
        <v>1000</v>
      </c>
      <c r="G304" s="49">
        <f t="shared" si="6"/>
        <v>-3596.9299999999894</v>
      </c>
    </row>
    <row r="305" spans="1:7" x14ac:dyDescent="0.25">
      <c r="A305" s="5">
        <v>45629</v>
      </c>
      <c r="B305" s="30" t="s">
        <v>189</v>
      </c>
      <c r="C305" s="30">
        <v>2024</v>
      </c>
      <c r="D305" s="3" t="s">
        <v>65</v>
      </c>
      <c r="F305" s="4">
        <v>350</v>
      </c>
      <c r="G305" s="49">
        <f t="shared" si="6"/>
        <v>-3946.9299999999894</v>
      </c>
    </row>
    <row r="306" spans="1:7" x14ac:dyDescent="0.25">
      <c r="A306" s="5">
        <v>45629</v>
      </c>
      <c r="B306" s="30" t="s">
        <v>189</v>
      </c>
      <c r="C306" s="30">
        <v>2024</v>
      </c>
      <c r="D306" s="3" t="s">
        <v>65</v>
      </c>
      <c r="F306" s="4">
        <v>540</v>
      </c>
      <c r="G306" s="49">
        <f t="shared" si="6"/>
        <v>-4486.9299999999894</v>
      </c>
    </row>
    <row r="307" spans="1:7" x14ac:dyDescent="0.25">
      <c r="A307" s="5">
        <v>45629</v>
      </c>
      <c r="B307" s="30" t="s">
        <v>189</v>
      </c>
      <c r="C307" s="30">
        <v>2024</v>
      </c>
      <c r="D307" s="3" t="s">
        <v>65</v>
      </c>
      <c r="F307" s="4">
        <v>400</v>
      </c>
      <c r="G307" s="49">
        <f t="shared" si="6"/>
        <v>-4886.9299999999894</v>
      </c>
    </row>
    <row r="308" spans="1:7" x14ac:dyDescent="0.25">
      <c r="A308" s="5">
        <v>45629</v>
      </c>
      <c r="B308" s="30" t="s">
        <v>189</v>
      </c>
      <c r="C308" s="30">
        <v>2024</v>
      </c>
      <c r="D308" s="3" t="s">
        <v>65</v>
      </c>
      <c r="F308" s="4">
        <v>1000</v>
      </c>
      <c r="G308" s="49">
        <f t="shared" si="6"/>
        <v>-5886.9299999999894</v>
      </c>
    </row>
    <row r="309" spans="1:7" x14ac:dyDescent="0.25">
      <c r="A309" s="5">
        <v>45631</v>
      </c>
      <c r="B309" s="30" t="s">
        <v>189</v>
      </c>
      <c r="C309" s="30">
        <v>2024</v>
      </c>
      <c r="D309" s="41" t="s">
        <v>67</v>
      </c>
      <c r="E309" s="47">
        <v>15000</v>
      </c>
      <c r="G309" s="49">
        <f t="shared" si="6"/>
        <v>9113.0700000000106</v>
      </c>
    </row>
    <row r="310" spans="1:7" x14ac:dyDescent="0.25">
      <c r="A310" s="5">
        <v>45636</v>
      </c>
      <c r="B310" s="30" t="s">
        <v>189</v>
      </c>
      <c r="C310" s="30">
        <v>2024</v>
      </c>
      <c r="D310" s="20" t="s">
        <v>190</v>
      </c>
      <c r="F310" s="4">
        <v>1540</v>
      </c>
      <c r="G310" s="49">
        <f t="shared" si="6"/>
        <v>7573.0700000000106</v>
      </c>
    </row>
    <row r="311" spans="1:7" x14ac:dyDescent="0.25">
      <c r="A311" s="5">
        <v>45636</v>
      </c>
      <c r="B311" s="30" t="s">
        <v>189</v>
      </c>
      <c r="C311" s="30">
        <v>2024</v>
      </c>
      <c r="D311" s="3" t="s">
        <v>194</v>
      </c>
      <c r="F311" s="4">
        <v>4000</v>
      </c>
      <c r="G311" s="49">
        <f t="shared" si="6"/>
        <v>3573.0700000000106</v>
      </c>
    </row>
    <row r="312" spans="1:7" x14ac:dyDescent="0.25">
      <c r="A312" s="5">
        <v>45636</v>
      </c>
      <c r="B312" s="30" t="s">
        <v>189</v>
      </c>
      <c r="C312" s="30">
        <v>2024</v>
      </c>
      <c r="D312" s="3" t="s">
        <v>19</v>
      </c>
      <c r="F312" s="4">
        <v>500</v>
      </c>
      <c r="G312" s="49">
        <f t="shared" si="6"/>
        <v>3073.0700000000106</v>
      </c>
    </row>
    <row r="313" spans="1:7" x14ac:dyDescent="0.25">
      <c r="A313" s="5">
        <v>45636</v>
      </c>
      <c r="B313" s="30" t="s">
        <v>189</v>
      </c>
      <c r="C313" s="30">
        <v>2024</v>
      </c>
      <c r="D313" s="3" t="s">
        <v>195</v>
      </c>
      <c r="F313" s="4">
        <v>2380</v>
      </c>
      <c r="G313" s="49">
        <f t="shared" si="6"/>
        <v>693.07000000001062</v>
      </c>
    </row>
    <row r="314" spans="1:7" x14ac:dyDescent="0.25">
      <c r="A314" s="5">
        <v>45636</v>
      </c>
      <c r="B314" s="30" t="s">
        <v>189</v>
      </c>
      <c r="C314" s="30">
        <v>2024</v>
      </c>
      <c r="D314" s="3" t="s">
        <v>180</v>
      </c>
      <c r="F314" s="4">
        <v>740</v>
      </c>
      <c r="G314" s="49">
        <f t="shared" si="6"/>
        <v>-46.929999999989377</v>
      </c>
    </row>
    <row r="315" spans="1:7" x14ac:dyDescent="0.25">
      <c r="A315" s="5">
        <v>45636</v>
      </c>
      <c r="B315" s="30" t="s">
        <v>189</v>
      </c>
      <c r="C315" s="30">
        <v>2024</v>
      </c>
      <c r="D315" s="3" t="s">
        <v>196</v>
      </c>
      <c r="F315" s="4">
        <v>250</v>
      </c>
      <c r="G315" s="49">
        <f t="shared" si="6"/>
        <v>-296.92999999998938</v>
      </c>
    </row>
    <row r="316" spans="1:7" x14ac:dyDescent="0.25">
      <c r="A316" s="5">
        <v>45636</v>
      </c>
      <c r="B316" s="30" t="s">
        <v>189</v>
      </c>
      <c r="C316" s="30">
        <v>2024</v>
      </c>
      <c r="D316" s="3" t="s">
        <v>65</v>
      </c>
      <c r="F316" s="4">
        <v>180</v>
      </c>
      <c r="G316" s="49">
        <f t="shared" si="6"/>
        <v>-476.92999999998938</v>
      </c>
    </row>
    <row r="317" spans="1:7" x14ac:dyDescent="0.25">
      <c r="A317" s="5">
        <v>45636</v>
      </c>
      <c r="B317" s="30" t="s">
        <v>189</v>
      </c>
      <c r="C317" s="30">
        <v>2024</v>
      </c>
      <c r="D317" s="3" t="s">
        <v>197</v>
      </c>
      <c r="F317" s="4">
        <v>2920</v>
      </c>
      <c r="G317" s="49">
        <f t="shared" si="6"/>
        <v>-3396.9299999999894</v>
      </c>
    </row>
    <row r="318" spans="1:7" x14ac:dyDescent="0.25">
      <c r="A318" s="5">
        <v>45636</v>
      </c>
      <c r="B318" s="30" t="s">
        <v>189</v>
      </c>
      <c r="C318" s="30">
        <v>2024</v>
      </c>
      <c r="D318" s="3" t="s">
        <v>19</v>
      </c>
      <c r="F318" s="4">
        <v>225</v>
      </c>
      <c r="G318" s="49">
        <f t="shared" si="6"/>
        <v>-3621.9299999999894</v>
      </c>
    </row>
    <row r="319" spans="1:7" x14ac:dyDescent="0.25">
      <c r="A319" s="5">
        <v>45636</v>
      </c>
      <c r="B319" s="30" t="s">
        <v>189</v>
      </c>
      <c r="C319" s="30">
        <v>2024</v>
      </c>
      <c r="D319" s="41" t="s">
        <v>67</v>
      </c>
      <c r="E319" s="47">
        <v>10000</v>
      </c>
      <c r="G319" s="49">
        <f t="shared" si="6"/>
        <v>6378.0700000000106</v>
      </c>
    </row>
    <row r="320" spans="1:7" x14ac:dyDescent="0.25">
      <c r="A320" s="5">
        <v>45646</v>
      </c>
      <c r="B320" s="30" t="s">
        <v>189</v>
      </c>
      <c r="C320" s="30">
        <v>2024</v>
      </c>
      <c r="D320" s="3" t="s">
        <v>146</v>
      </c>
      <c r="F320" s="4">
        <v>3000</v>
      </c>
      <c r="G320" s="49">
        <f t="shared" si="6"/>
        <v>3378.0700000000106</v>
      </c>
    </row>
    <row r="321" spans="1:7" x14ac:dyDescent="0.25">
      <c r="A321" s="5">
        <v>45646</v>
      </c>
      <c r="B321" s="30" t="s">
        <v>189</v>
      </c>
      <c r="C321" s="30">
        <v>2024</v>
      </c>
      <c r="D321" s="20" t="s">
        <v>190</v>
      </c>
      <c r="F321" s="4">
        <v>1540</v>
      </c>
      <c r="G321" s="49">
        <f t="shared" si="6"/>
        <v>1838.0700000000106</v>
      </c>
    </row>
    <row r="322" spans="1:7" x14ac:dyDescent="0.25">
      <c r="A322" s="5">
        <v>45646</v>
      </c>
      <c r="B322" s="30" t="s">
        <v>189</v>
      </c>
      <c r="C322" s="30">
        <v>2024</v>
      </c>
      <c r="D322" s="3" t="s">
        <v>19</v>
      </c>
      <c r="F322" s="4">
        <v>380</v>
      </c>
      <c r="G322" s="49">
        <f t="shared" si="6"/>
        <v>1458.0700000000106</v>
      </c>
    </row>
    <row r="323" spans="1:7" x14ac:dyDescent="0.25">
      <c r="A323" s="5">
        <v>45646</v>
      </c>
      <c r="B323" s="30" t="s">
        <v>189</v>
      </c>
      <c r="C323" s="30">
        <v>2024</v>
      </c>
      <c r="D323" s="3" t="s">
        <v>198</v>
      </c>
      <c r="F323" s="4">
        <v>400</v>
      </c>
      <c r="G323" s="49">
        <f t="shared" si="6"/>
        <v>1058.0700000000106</v>
      </c>
    </row>
    <row r="324" spans="1:7" x14ac:dyDescent="0.25">
      <c r="A324" s="5">
        <v>45646</v>
      </c>
      <c r="B324" s="30" t="s">
        <v>189</v>
      </c>
      <c r="C324" s="30">
        <v>2024</v>
      </c>
      <c r="D324" s="3" t="s">
        <v>19</v>
      </c>
      <c r="F324" s="4">
        <v>595</v>
      </c>
      <c r="G324" s="49">
        <f t="shared" si="6"/>
        <v>463.07000000001062</v>
      </c>
    </row>
    <row r="325" spans="1:7" x14ac:dyDescent="0.25">
      <c r="A325" s="5">
        <v>45646</v>
      </c>
      <c r="B325" s="30" t="s">
        <v>189</v>
      </c>
      <c r="C325" s="30">
        <v>2024</v>
      </c>
      <c r="D325" s="3" t="s">
        <v>199</v>
      </c>
      <c r="F325" s="4">
        <v>500</v>
      </c>
      <c r="G325" s="49">
        <f t="shared" si="6"/>
        <v>-36.929999999989377</v>
      </c>
    </row>
    <row r="326" spans="1:7" x14ac:dyDescent="0.25">
      <c r="A326" s="5">
        <v>45646</v>
      </c>
      <c r="B326" s="30" t="s">
        <v>189</v>
      </c>
      <c r="C326" s="30">
        <v>2024</v>
      </c>
      <c r="D326" s="3" t="s">
        <v>200</v>
      </c>
      <c r="F326" s="4">
        <v>200</v>
      </c>
      <c r="G326" s="49">
        <f t="shared" si="6"/>
        <v>-236.92999999998938</v>
      </c>
    </row>
    <row r="327" spans="1:7" x14ac:dyDescent="0.25">
      <c r="A327" s="5">
        <v>45646</v>
      </c>
      <c r="B327" s="30" t="s">
        <v>189</v>
      </c>
      <c r="C327" s="30">
        <v>2024</v>
      </c>
      <c r="D327" s="3" t="s">
        <v>201</v>
      </c>
      <c r="F327" s="4">
        <v>350</v>
      </c>
      <c r="G327" s="49">
        <f t="shared" si="6"/>
        <v>-586.92999999998938</v>
      </c>
    </row>
    <row r="328" spans="1:7" x14ac:dyDescent="0.25">
      <c r="A328" s="5">
        <v>45646</v>
      </c>
      <c r="B328" s="30" t="s">
        <v>189</v>
      </c>
      <c r="C328" s="30">
        <v>2024</v>
      </c>
      <c r="D328" s="3" t="s">
        <v>65</v>
      </c>
      <c r="F328" s="4">
        <v>600</v>
      </c>
      <c r="G328" s="49">
        <f t="shared" si="6"/>
        <v>-1186.9299999999894</v>
      </c>
    </row>
    <row r="329" spans="1:7" x14ac:dyDescent="0.25">
      <c r="A329" s="5">
        <v>45646</v>
      </c>
      <c r="B329" s="30" t="s">
        <v>189</v>
      </c>
      <c r="C329" s="30">
        <v>2024</v>
      </c>
      <c r="D329" s="3" t="s">
        <v>202</v>
      </c>
      <c r="F329" s="4">
        <v>300</v>
      </c>
      <c r="G329" s="49">
        <f t="shared" si="6"/>
        <v>-1486.9299999999894</v>
      </c>
    </row>
    <row r="330" spans="1:7" x14ac:dyDescent="0.25">
      <c r="A330" s="5">
        <v>45646</v>
      </c>
      <c r="B330" s="30" t="s">
        <v>189</v>
      </c>
      <c r="C330" s="30">
        <v>2024</v>
      </c>
      <c r="D330" s="3" t="s">
        <v>65</v>
      </c>
      <c r="F330" s="4">
        <v>960</v>
      </c>
      <c r="G330" s="49">
        <f t="shared" si="6"/>
        <v>-2446.9299999999894</v>
      </c>
    </row>
    <row r="331" spans="1:7" x14ac:dyDescent="0.25">
      <c r="A331" s="5">
        <v>45646</v>
      </c>
      <c r="B331" s="30" t="s">
        <v>189</v>
      </c>
      <c r="C331" s="30">
        <v>2024</v>
      </c>
      <c r="D331" s="3" t="s">
        <v>19</v>
      </c>
      <c r="F331" s="4">
        <v>595</v>
      </c>
      <c r="G331" s="49">
        <f t="shared" si="6"/>
        <v>-3041.9299999999894</v>
      </c>
    </row>
    <row r="332" spans="1:7" x14ac:dyDescent="0.25">
      <c r="A332" s="5">
        <v>45646</v>
      </c>
      <c r="B332" s="30" t="s">
        <v>189</v>
      </c>
      <c r="C332" s="30">
        <v>2024</v>
      </c>
      <c r="D332" s="3" t="s">
        <v>54</v>
      </c>
      <c r="F332" s="4">
        <v>97.5</v>
      </c>
      <c r="G332" s="49">
        <f t="shared" si="6"/>
        <v>-3139.4299999999894</v>
      </c>
    </row>
    <row r="333" spans="1:7" x14ac:dyDescent="0.25">
      <c r="A333" s="5">
        <v>45646</v>
      </c>
      <c r="B333" s="30" t="s">
        <v>189</v>
      </c>
      <c r="C333" s="30">
        <v>2024</v>
      </c>
      <c r="D333" s="3" t="s">
        <v>203</v>
      </c>
      <c r="F333" s="4">
        <v>600</v>
      </c>
      <c r="G333" s="49">
        <f t="shared" si="6"/>
        <v>-3739.4299999999894</v>
      </c>
    </row>
    <row r="334" spans="1:7" x14ac:dyDescent="0.25">
      <c r="A334" s="5">
        <v>45646</v>
      </c>
      <c r="B334" s="30" t="s">
        <v>189</v>
      </c>
      <c r="C334" s="30">
        <v>2024</v>
      </c>
      <c r="D334" s="3" t="s">
        <v>204</v>
      </c>
      <c r="F334" s="4">
        <v>600</v>
      </c>
      <c r="G334" s="49">
        <f t="shared" si="6"/>
        <v>-4339.4299999999894</v>
      </c>
    </row>
    <row r="335" spans="1:7" x14ac:dyDescent="0.25">
      <c r="A335" s="5">
        <v>45646</v>
      </c>
      <c r="B335" s="30" t="s">
        <v>189</v>
      </c>
      <c r="C335" s="30">
        <v>2024</v>
      </c>
      <c r="D335" s="3" t="s">
        <v>205</v>
      </c>
      <c r="F335" s="4">
        <v>1000</v>
      </c>
      <c r="G335" s="49">
        <f t="shared" si="6"/>
        <v>-5339.4299999999894</v>
      </c>
    </row>
    <row r="336" spans="1:7" x14ac:dyDescent="0.25">
      <c r="A336" s="5">
        <v>45646</v>
      </c>
      <c r="B336" s="30" t="s">
        <v>189</v>
      </c>
      <c r="C336" s="30">
        <v>2024</v>
      </c>
      <c r="D336" s="3" t="s">
        <v>202</v>
      </c>
      <c r="F336" s="4">
        <v>160</v>
      </c>
      <c r="G336" s="49">
        <f t="shared" si="6"/>
        <v>-5499.4299999999894</v>
      </c>
    </row>
    <row r="337" spans="1:44" x14ac:dyDescent="0.25">
      <c r="A337" s="5">
        <v>45646</v>
      </c>
      <c r="B337" s="30" t="s">
        <v>189</v>
      </c>
      <c r="C337" s="30">
        <v>2024</v>
      </c>
      <c r="D337" s="3" t="s">
        <v>202</v>
      </c>
      <c r="F337" s="4">
        <v>190</v>
      </c>
      <c r="G337" s="49">
        <f t="shared" si="6"/>
        <v>-5689.4299999999894</v>
      </c>
    </row>
    <row r="338" spans="1:44" x14ac:dyDescent="0.25">
      <c r="A338" s="5">
        <v>45646</v>
      </c>
      <c r="B338" s="30" t="s">
        <v>189</v>
      </c>
      <c r="C338" s="30">
        <v>2024</v>
      </c>
      <c r="D338" s="3" t="s">
        <v>206</v>
      </c>
      <c r="F338" s="4">
        <v>250</v>
      </c>
      <c r="G338" s="49">
        <f t="shared" si="6"/>
        <v>-5939.4299999999894</v>
      </c>
    </row>
    <row r="339" spans="1:44" x14ac:dyDescent="0.25">
      <c r="A339" s="5">
        <v>45646</v>
      </c>
      <c r="B339" s="30" t="s">
        <v>189</v>
      </c>
      <c r="C339" s="30">
        <v>2024</v>
      </c>
      <c r="D339" s="3" t="s">
        <v>207</v>
      </c>
      <c r="F339" s="4">
        <v>330</v>
      </c>
      <c r="G339" s="49">
        <f t="shared" si="6"/>
        <v>-6269.4299999999894</v>
      </c>
    </row>
    <row r="340" spans="1:44" x14ac:dyDescent="0.25">
      <c r="A340" s="5">
        <v>45646</v>
      </c>
      <c r="B340" s="30" t="s">
        <v>189</v>
      </c>
      <c r="C340" s="30">
        <v>2024</v>
      </c>
      <c r="D340" s="3" t="s">
        <v>54</v>
      </c>
      <c r="F340" s="4">
        <v>153</v>
      </c>
      <c r="G340" s="49">
        <f t="shared" si="6"/>
        <v>-6422.4299999999894</v>
      </c>
    </row>
    <row r="341" spans="1:44" s="16" customFormat="1" x14ac:dyDescent="0.25">
      <c r="A341" s="5">
        <v>45646</v>
      </c>
      <c r="B341" s="30" t="s">
        <v>189</v>
      </c>
      <c r="C341" s="30">
        <v>2024</v>
      </c>
      <c r="D341" s="8" t="s">
        <v>208</v>
      </c>
      <c r="E341" s="9"/>
      <c r="F341" s="9">
        <v>500</v>
      </c>
      <c r="G341" s="47">
        <f t="shared" si="6"/>
        <v>-6922.4299999999894</v>
      </c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</row>
    <row r="342" spans="1:44" s="16" customFormat="1" x14ac:dyDescent="0.25">
      <c r="A342" s="5">
        <v>45646</v>
      </c>
      <c r="B342" s="30" t="s">
        <v>189</v>
      </c>
      <c r="C342" s="30">
        <v>2024</v>
      </c>
      <c r="D342" s="41" t="s">
        <v>67</v>
      </c>
      <c r="E342" s="47">
        <v>15000</v>
      </c>
      <c r="F342" s="9"/>
      <c r="G342" s="47">
        <f t="shared" si="6"/>
        <v>8077.5700000000106</v>
      </c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</row>
    <row r="343" spans="1:44" s="16" customFormat="1" x14ac:dyDescent="0.25">
      <c r="A343" s="5">
        <v>45653</v>
      </c>
      <c r="B343" s="30" t="s">
        <v>189</v>
      </c>
      <c r="C343" s="30">
        <v>2024</v>
      </c>
      <c r="D343" s="8" t="s">
        <v>209</v>
      </c>
      <c r="E343" s="9"/>
      <c r="F343" s="9">
        <v>700</v>
      </c>
      <c r="G343" s="47">
        <f t="shared" si="6"/>
        <v>7377.5700000000106</v>
      </c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</row>
    <row r="344" spans="1:44" s="16" customFormat="1" x14ac:dyDescent="0.25">
      <c r="A344" s="5">
        <v>45653</v>
      </c>
      <c r="B344" s="30" t="s">
        <v>189</v>
      </c>
      <c r="C344" s="30">
        <v>2024</v>
      </c>
      <c r="D344" s="8" t="s">
        <v>210</v>
      </c>
      <c r="E344" s="9"/>
      <c r="F344" s="9">
        <v>410</v>
      </c>
      <c r="G344" s="47">
        <f t="shared" si="6"/>
        <v>6967.5700000000106</v>
      </c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</row>
    <row r="345" spans="1:44" s="16" customFormat="1" x14ac:dyDescent="0.25">
      <c r="A345" s="5">
        <v>45653</v>
      </c>
      <c r="B345" s="30" t="s">
        <v>189</v>
      </c>
      <c r="C345" s="30">
        <v>2024</v>
      </c>
      <c r="D345" s="8" t="s">
        <v>211</v>
      </c>
      <c r="E345" s="9"/>
      <c r="F345" s="9">
        <v>300</v>
      </c>
      <c r="G345" s="47">
        <f t="shared" si="6"/>
        <v>6667.5700000000106</v>
      </c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</row>
    <row r="346" spans="1:44" s="16" customFormat="1" x14ac:dyDescent="0.25">
      <c r="A346" s="5">
        <v>45653</v>
      </c>
      <c r="B346" s="30" t="s">
        <v>189</v>
      </c>
      <c r="C346" s="30">
        <v>2024</v>
      </c>
      <c r="D346" s="8" t="s">
        <v>65</v>
      </c>
      <c r="E346" s="9"/>
      <c r="F346" s="9">
        <v>100</v>
      </c>
      <c r="G346" s="47">
        <f t="shared" si="6"/>
        <v>6567.5700000000106</v>
      </c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</row>
    <row r="347" spans="1:44" s="16" customFormat="1" x14ac:dyDescent="0.25">
      <c r="A347" s="5">
        <v>45653</v>
      </c>
      <c r="B347" s="30" t="s">
        <v>189</v>
      </c>
      <c r="C347" s="30">
        <v>2024</v>
      </c>
      <c r="D347" s="8" t="s">
        <v>54</v>
      </c>
      <c r="E347" s="9"/>
      <c r="F347" s="9">
        <v>457</v>
      </c>
      <c r="G347" s="47">
        <f t="shared" si="6"/>
        <v>6110.5700000000106</v>
      </c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</row>
    <row r="348" spans="1:44" s="16" customFormat="1" x14ac:dyDescent="0.25">
      <c r="A348" s="5">
        <v>45653</v>
      </c>
      <c r="B348" s="30" t="s">
        <v>189</v>
      </c>
      <c r="C348" s="30">
        <v>2024</v>
      </c>
      <c r="D348" s="8" t="s">
        <v>212</v>
      </c>
      <c r="E348" s="9"/>
      <c r="F348" s="9">
        <v>2570</v>
      </c>
      <c r="G348" s="47">
        <f t="shared" ref="G348:G374" si="7">G347+E348-F348</f>
        <v>3540.5700000000106</v>
      </c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</row>
    <row r="349" spans="1:44" s="16" customFormat="1" x14ac:dyDescent="0.25">
      <c r="A349" s="5">
        <v>45653</v>
      </c>
      <c r="B349" s="30" t="s">
        <v>189</v>
      </c>
      <c r="C349" s="30">
        <v>2024</v>
      </c>
      <c r="D349" s="8" t="s">
        <v>213</v>
      </c>
      <c r="E349" s="9"/>
      <c r="F349" s="9">
        <v>1725</v>
      </c>
      <c r="G349" s="47">
        <f t="shared" si="7"/>
        <v>1815.5700000000106</v>
      </c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</row>
    <row r="350" spans="1:44" s="16" customFormat="1" x14ac:dyDescent="0.25">
      <c r="A350" s="5">
        <v>45653</v>
      </c>
      <c r="B350" s="30" t="s">
        <v>189</v>
      </c>
      <c r="C350" s="30">
        <v>2024</v>
      </c>
      <c r="D350" s="8" t="s">
        <v>65</v>
      </c>
      <c r="E350" s="9"/>
      <c r="F350" s="9">
        <v>135</v>
      </c>
      <c r="G350" s="47">
        <f t="shared" si="7"/>
        <v>1680.5700000000106</v>
      </c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</row>
    <row r="351" spans="1:44" s="16" customFormat="1" x14ac:dyDescent="0.25">
      <c r="A351" s="5">
        <v>45653</v>
      </c>
      <c r="B351" s="30" t="s">
        <v>189</v>
      </c>
      <c r="C351" s="30">
        <v>2024</v>
      </c>
      <c r="D351" s="8" t="s">
        <v>214</v>
      </c>
      <c r="E351" s="9"/>
      <c r="F351" s="9">
        <v>134</v>
      </c>
      <c r="G351" s="47">
        <f t="shared" si="7"/>
        <v>1546.5700000000106</v>
      </c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</row>
    <row r="352" spans="1:44" s="16" customFormat="1" x14ac:dyDescent="0.25">
      <c r="A352" s="5">
        <v>45653</v>
      </c>
      <c r="B352" s="30" t="s">
        <v>189</v>
      </c>
      <c r="C352" s="30">
        <v>2024</v>
      </c>
      <c r="D352" s="8" t="s">
        <v>217</v>
      </c>
      <c r="E352" s="9"/>
      <c r="F352" s="9">
        <v>310</v>
      </c>
      <c r="G352" s="47">
        <f t="shared" si="7"/>
        <v>1236.5700000000106</v>
      </c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</row>
    <row r="353" spans="1:44" s="16" customFormat="1" x14ac:dyDescent="0.25">
      <c r="A353" s="5">
        <v>45653</v>
      </c>
      <c r="B353" s="30" t="s">
        <v>189</v>
      </c>
      <c r="C353" s="30">
        <v>2024</v>
      </c>
      <c r="D353" s="8" t="s">
        <v>216</v>
      </c>
      <c r="E353" s="9"/>
      <c r="F353" s="9">
        <v>580</v>
      </c>
      <c r="G353" s="47">
        <f t="shared" si="7"/>
        <v>656.57000000001062</v>
      </c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</row>
    <row r="354" spans="1:44" s="16" customFormat="1" x14ac:dyDescent="0.25">
      <c r="A354" s="5">
        <v>45653</v>
      </c>
      <c r="B354" s="30" t="s">
        <v>189</v>
      </c>
      <c r="C354" s="30">
        <v>2024</v>
      </c>
      <c r="D354" s="8" t="s">
        <v>215</v>
      </c>
      <c r="E354" s="9"/>
      <c r="F354" s="9">
        <v>650</v>
      </c>
      <c r="G354" s="47">
        <f t="shared" si="7"/>
        <v>6.5700000000106229</v>
      </c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</row>
    <row r="355" spans="1:44" s="16" customFormat="1" x14ac:dyDescent="0.25">
      <c r="A355" s="5">
        <v>45653</v>
      </c>
      <c r="B355" s="30" t="s">
        <v>189</v>
      </c>
      <c r="C355" s="30">
        <v>2024</v>
      </c>
      <c r="D355" s="8" t="s">
        <v>218</v>
      </c>
      <c r="E355" s="9"/>
      <c r="F355" s="9">
        <v>1500</v>
      </c>
      <c r="G355" s="47">
        <f t="shared" si="7"/>
        <v>-1493.4299999999894</v>
      </c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</row>
    <row r="356" spans="1:44" x14ac:dyDescent="0.25">
      <c r="A356" s="5">
        <v>45653</v>
      </c>
      <c r="B356" s="30" t="s">
        <v>189</v>
      </c>
      <c r="C356" s="30">
        <v>2024</v>
      </c>
      <c r="D356" s="3" t="s">
        <v>219</v>
      </c>
      <c r="F356" s="4">
        <v>170.1</v>
      </c>
      <c r="G356" s="49">
        <f t="shared" si="7"/>
        <v>-1663.5299999999893</v>
      </c>
    </row>
    <row r="357" spans="1:44" x14ac:dyDescent="0.25">
      <c r="A357" s="5">
        <v>45653</v>
      </c>
      <c r="B357" s="30" t="s">
        <v>189</v>
      </c>
      <c r="C357" s="30">
        <v>2024</v>
      </c>
      <c r="D357" s="20" t="s">
        <v>190</v>
      </c>
      <c r="F357" s="4">
        <v>1540</v>
      </c>
      <c r="G357" s="49">
        <f t="shared" si="7"/>
        <v>-3203.5299999999893</v>
      </c>
    </row>
    <row r="358" spans="1:44" x14ac:dyDescent="0.25">
      <c r="A358" s="5">
        <v>45664</v>
      </c>
      <c r="B358" s="30" t="s">
        <v>223</v>
      </c>
      <c r="C358" s="30">
        <v>2025</v>
      </c>
      <c r="D358" s="20" t="s">
        <v>220</v>
      </c>
      <c r="F358" s="4">
        <v>2000</v>
      </c>
      <c r="G358" s="49">
        <f t="shared" si="7"/>
        <v>-5203.5299999999897</v>
      </c>
    </row>
    <row r="359" spans="1:44" x14ac:dyDescent="0.25">
      <c r="A359" s="5">
        <v>45664</v>
      </c>
      <c r="B359" s="30" t="s">
        <v>223</v>
      </c>
      <c r="C359" s="30">
        <v>2025</v>
      </c>
      <c r="D359" s="3" t="s">
        <v>221</v>
      </c>
      <c r="F359" s="4">
        <v>2000</v>
      </c>
      <c r="G359" s="49">
        <f t="shared" si="7"/>
        <v>-7203.5299999999897</v>
      </c>
    </row>
    <row r="360" spans="1:44" x14ac:dyDescent="0.25">
      <c r="A360" s="5">
        <v>45664</v>
      </c>
      <c r="B360" s="30" t="s">
        <v>223</v>
      </c>
      <c r="C360" s="30">
        <v>2025</v>
      </c>
      <c r="D360" s="3" t="s">
        <v>222</v>
      </c>
      <c r="F360" s="4">
        <v>78.17</v>
      </c>
      <c r="G360" s="49">
        <f t="shared" si="7"/>
        <v>-7281.6999999999898</v>
      </c>
    </row>
    <row r="361" spans="1:44" x14ac:dyDescent="0.25">
      <c r="A361" s="5">
        <v>45664</v>
      </c>
      <c r="B361" s="30" t="s">
        <v>223</v>
      </c>
      <c r="C361" s="30">
        <v>2025</v>
      </c>
      <c r="D361" s="3" t="s">
        <v>65</v>
      </c>
      <c r="F361" s="4">
        <v>200</v>
      </c>
      <c r="G361" s="49">
        <f t="shared" si="7"/>
        <v>-7481.6999999999898</v>
      </c>
    </row>
    <row r="362" spans="1:44" x14ac:dyDescent="0.25">
      <c r="A362" s="5">
        <v>45664</v>
      </c>
      <c r="B362" s="30" t="s">
        <v>223</v>
      </c>
      <c r="C362" s="30">
        <v>2025</v>
      </c>
      <c r="D362" s="20" t="s">
        <v>190</v>
      </c>
      <c r="F362" s="4">
        <v>1540</v>
      </c>
      <c r="G362" s="49">
        <f t="shared" si="7"/>
        <v>-9021.6999999999898</v>
      </c>
    </row>
    <row r="363" spans="1:44" x14ac:dyDescent="0.25">
      <c r="A363" s="5">
        <v>45667</v>
      </c>
      <c r="B363" s="30" t="s">
        <v>223</v>
      </c>
      <c r="C363" s="30">
        <v>2025</v>
      </c>
      <c r="D363" s="41" t="s">
        <v>67</v>
      </c>
      <c r="E363" s="47">
        <v>15000</v>
      </c>
      <c r="G363" s="49">
        <f t="shared" si="7"/>
        <v>5978.3000000000102</v>
      </c>
    </row>
    <row r="364" spans="1:44" x14ac:dyDescent="0.25">
      <c r="A364" s="5">
        <v>45671</v>
      </c>
      <c r="B364" s="30" t="s">
        <v>223</v>
      </c>
      <c r="C364" s="30">
        <v>2025</v>
      </c>
      <c r="D364" s="20" t="s">
        <v>190</v>
      </c>
      <c r="F364" s="4">
        <v>2100</v>
      </c>
      <c r="G364" s="49">
        <f t="shared" si="7"/>
        <v>3878.3000000000102</v>
      </c>
    </row>
    <row r="365" spans="1:44" x14ac:dyDescent="0.25">
      <c r="A365" s="5">
        <v>45671</v>
      </c>
      <c r="B365" s="30" t="s">
        <v>223</v>
      </c>
      <c r="C365" s="30">
        <v>2025</v>
      </c>
      <c r="D365" s="3" t="s">
        <v>65</v>
      </c>
      <c r="F365" s="4">
        <v>312</v>
      </c>
      <c r="G365" s="49">
        <f t="shared" si="7"/>
        <v>3566.3000000000102</v>
      </c>
    </row>
    <row r="366" spans="1:44" x14ac:dyDescent="0.25">
      <c r="A366" s="5">
        <v>45671</v>
      </c>
      <c r="B366" s="30" t="s">
        <v>223</v>
      </c>
      <c r="C366" s="30">
        <v>2025</v>
      </c>
      <c r="D366" s="3" t="s">
        <v>134</v>
      </c>
      <c r="F366" s="4">
        <v>1200</v>
      </c>
      <c r="G366" s="49">
        <f t="shared" si="7"/>
        <v>2366.3000000000102</v>
      </c>
    </row>
    <row r="367" spans="1:44" x14ac:dyDescent="0.25">
      <c r="A367" s="5">
        <v>45671</v>
      </c>
      <c r="B367" s="30" t="s">
        <v>223</v>
      </c>
      <c r="C367" s="30">
        <v>2025</v>
      </c>
      <c r="D367" s="3" t="s">
        <v>224</v>
      </c>
      <c r="F367" s="4">
        <v>500</v>
      </c>
      <c r="G367" s="49">
        <f t="shared" si="7"/>
        <v>1866.3000000000102</v>
      </c>
    </row>
    <row r="368" spans="1:44" x14ac:dyDescent="0.25">
      <c r="A368" s="5">
        <v>45671</v>
      </c>
      <c r="B368" s="30" t="s">
        <v>223</v>
      </c>
      <c r="C368" s="30">
        <v>2025</v>
      </c>
      <c r="D368" s="3" t="s">
        <v>19</v>
      </c>
      <c r="F368" s="4">
        <v>600</v>
      </c>
      <c r="G368" s="49">
        <f t="shared" si="7"/>
        <v>1266.3000000000102</v>
      </c>
    </row>
    <row r="369" spans="1:44" x14ac:dyDescent="0.25">
      <c r="A369" s="5">
        <v>45671</v>
      </c>
      <c r="B369" s="30" t="s">
        <v>223</v>
      </c>
      <c r="C369" s="30">
        <v>2025</v>
      </c>
      <c r="D369" s="3" t="s">
        <v>225</v>
      </c>
      <c r="F369" s="4">
        <v>400</v>
      </c>
      <c r="G369" s="49">
        <f t="shared" si="7"/>
        <v>866.30000000001019</v>
      </c>
    </row>
    <row r="370" spans="1:44" x14ac:dyDescent="0.25">
      <c r="A370" s="5">
        <v>45671</v>
      </c>
      <c r="B370" s="30" t="s">
        <v>223</v>
      </c>
      <c r="C370" s="30">
        <v>2025</v>
      </c>
      <c r="D370" s="3" t="s">
        <v>19</v>
      </c>
      <c r="F370" s="4">
        <v>150</v>
      </c>
      <c r="G370" s="49">
        <f t="shared" si="7"/>
        <v>716.30000000001019</v>
      </c>
    </row>
    <row r="371" spans="1:44" x14ac:dyDescent="0.25">
      <c r="A371" s="5">
        <v>45671</v>
      </c>
      <c r="B371" s="30" t="s">
        <v>223</v>
      </c>
      <c r="C371" s="30">
        <v>2025</v>
      </c>
      <c r="D371" s="3" t="s">
        <v>226</v>
      </c>
      <c r="F371" s="4">
        <v>200</v>
      </c>
      <c r="G371" s="49">
        <f t="shared" si="7"/>
        <v>516.30000000001019</v>
      </c>
    </row>
    <row r="372" spans="1:44" x14ac:dyDescent="0.25">
      <c r="A372" s="5">
        <v>45671</v>
      </c>
      <c r="B372" s="30" t="s">
        <v>223</v>
      </c>
      <c r="C372" s="30">
        <v>2025</v>
      </c>
      <c r="D372" s="3" t="s">
        <v>19</v>
      </c>
      <c r="F372" s="4">
        <v>1000</v>
      </c>
      <c r="G372" s="49">
        <f t="shared" si="7"/>
        <v>-483.69999999998981</v>
      </c>
    </row>
    <row r="373" spans="1:44" x14ac:dyDescent="0.25">
      <c r="A373" s="5">
        <v>45671</v>
      </c>
      <c r="B373" s="30" t="s">
        <v>223</v>
      </c>
      <c r="C373" s="30">
        <v>2025</v>
      </c>
      <c r="D373" s="8" t="s">
        <v>193</v>
      </c>
      <c r="F373" s="4">
        <v>2000</v>
      </c>
      <c r="G373" s="49">
        <f t="shared" si="7"/>
        <v>-2483.6999999999898</v>
      </c>
    </row>
    <row r="374" spans="1:44" x14ac:dyDescent="0.25">
      <c r="A374" s="5">
        <v>45671</v>
      </c>
      <c r="B374" s="30" t="s">
        <v>223</v>
      </c>
      <c r="C374" s="30">
        <v>2025</v>
      </c>
      <c r="D374" s="3" t="s">
        <v>227</v>
      </c>
      <c r="F374" s="4">
        <v>320</v>
      </c>
      <c r="G374" s="49">
        <f t="shared" si="7"/>
        <v>-2803.6999999999898</v>
      </c>
    </row>
    <row r="375" spans="1:44" x14ac:dyDescent="0.25">
      <c r="A375" s="5">
        <v>45671</v>
      </c>
      <c r="B375" s="30" t="s">
        <v>223</v>
      </c>
      <c r="C375" s="30">
        <v>2025</v>
      </c>
      <c r="D375" s="3" t="s">
        <v>228</v>
      </c>
      <c r="F375" s="4">
        <v>222.5</v>
      </c>
      <c r="G375" s="49">
        <f t="shared" ref="G375:G438" si="8">G374+E375-F375</f>
        <v>-3026.1999999999898</v>
      </c>
    </row>
    <row r="376" spans="1:44" x14ac:dyDescent="0.25">
      <c r="A376" s="5">
        <v>45671</v>
      </c>
      <c r="B376" s="30" t="s">
        <v>223</v>
      </c>
      <c r="C376" s="30">
        <v>2025</v>
      </c>
      <c r="D376" s="3" t="s">
        <v>229</v>
      </c>
      <c r="F376" s="4">
        <v>2000</v>
      </c>
      <c r="G376" s="49">
        <f t="shared" si="8"/>
        <v>-5026.1999999999898</v>
      </c>
    </row>
    <row r="377" spans="1:44" x14ac:dyDescent="0.25">
      <c r="A377" s="5">
        <v>45671</v>
      </c>
      <c r="B377" s="30" t="s">
        <v>223</v>
      </c>
      <c r="C377" s="30">
        <v>2025</v>
      </c>
      <c r="D377" s="3" t="s">
        <v>230</v>
      </c>
      <c r="F377" s="4">
        <v>600</v>
      </c>
      <c r="G377" s="49">
        <f t="shared" si="8"/>
        <v>-5626.1999999999898</v>
      </c>
    </row>
    <row r="378" spans="1:44" x14ac:dyDescent="0.25">
      <c r="A378" s="5">
        <v>45671</v>
      </c>
      <c r="B378" s="30" t="s">
        <v>223</v>
      </c>
      <c r="C378" s="30">
        <v>2025</v>
      </c>
      <c r="D378" s="3" t="s">
        <v>19</v>
      </c>
      <c r="F378" s="4">
        <v>225</v>
      </c>
      <c r="G378" s="49">
        <f t="shared" si="8"/>
        <v>-5851.1999999999898</v>
      </c>
    </row>
    <row r="379" spans="1:44" x14ac:dyDescent="0.25">
      <c r="A379" s="5">
        <v>45671</v>
      </c>
      <c r="B379" s="30" t="s">
        <v>223</v>
      </c>
      <c r="C379" s="30">
        <v>2025</v>
      </c>
      <c r="D379" s="3" t="s">
        <v>231</v>
      </c>
      <c r="F379" s="4">
        <v>1680</v>
      </c>
      <c r="G379" s="49">
        <f t="shared" si="8"/>
        <v>-7531.1999999999898</v>
      </c>
    </row>
    <row r="380" spans="1:44" x14ac:dyDescent="0.25">
      <c r="A380" s="5">
        <v>45673</v>
      </c>
      <c r="B380" s="30" t="s">
        <v>223</v>
      </c>
      <c r="C380" s="30">
        <v>2025</v>
      </c>
      <c r="D380" s="41" t="s">
        <v>67</v>
      </c>
      <c r="E380" s="47">
        <v>15000</v>
      </c>
      <c r="G380" s="49">
        <f t="shared" si="8"/>
        <v>7468.8000000000102</v>
      </c>
    </row>
    <row r="381" spans="1:44" x14ac:dyDescent="0.25">
      <c r="A381" s="5">
        <v>45678</v>
      </c>
      <c r="B381" s="30" t="s">
        <v>223</v>
      </c>
      <c r="C381" s="30">
        <v>2025</v>
      </c>
      <c r="D381" s="20" t="s">
        <v>190</v>
      </c>
      <c r="F381" s="4">
        <v>2100</v>
      </c>
      <c r="G381" s="49">
        <f t="shared" si="8"/>
        <v>5368.8000000000102</v>
      </c>
    </row>
    <row r="382" spans="1:44" x14ac:dyDescent="0.25">
      <c r="A382" s="5">
        <v>45678</v>
      </c>
      <c r="B382" s="30" t="s">
        <v>223</v>
      </c>
      <c r="C382" s="30">
        <v>2025</v>
      </c>
      <c r="D382" s="3" t="s">
        <v>146</v>
      </c>
      <c r="F382" s="4">
        <v>3500</v>
      </c>
      <c r="G382" s="49">
        <f t="shared" si="8"/>
        <v>1868.8000000000102</v>
      </c>
    </row>
    <row r="383" spans="1:44" x14ac:dyDescent="0.25">
      <c r="A383" s="5">
        <v>45678</v>
      </c>
      <c r="B383" s="30" t="s">
        <v>223</v>
      </c>
      <c r="C383" s="30">
        <v>2025</v>
      </c>
      <c r="D383" s="3" t="s">
        <v>19</v>
      </c>
      <c r="F383" s="4">
        <v>585</v>
      </c>
      <c r="G383" s="49">
        <f t="shared" si="8"/>
        <v>1283.8000000000102</v>
      </c>
    </row>
    <row r="384" spans="1:44" s="53" customFormat="1" x14ac:dyDescent="0.25">
      <c r="A384" s="5">
        <v>45678</v>
      </c>
      <c r="B384" s="30" t="s">
        <v>223</v>
      </c>
      <c r="C384" s="30">
        <v>2025</v>
      </c>
      <c r="D384" s="25" t="s">
        <v>232</v>
      </c>
      <c r="E384" s="51"/>
      <c r="F384" s="51">
        <v>140</v>
      </c>
      <c r="G384" s="51">
        <f t="shared" si="8"/>
        <v>1143.8000000000102</v>
      </c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</row>
    <row r="385" spans="1:7" x14ac:dyDescent="0.25">
      <c r="A385" s="5">
        <v>45678</v>
      </c>
      <c r="B385" s="30" t="s">
        <v>223</v>
      </c>
      <c r="C385" s="30">
        <v>2025</v>
      </c>
      <c r="D385" s="3" t="s">
        <v>28</v>
      </c>
      <c r="F385" s="4">
        <v>413</v>
      </c>
      <c r="G385" s="49">
        <f t="shared" si="8"/>
        <v>730.80000000001019</v>
      </c>
    </row>
    <row r="386" spans="1:7" x14ac:dyDescent="0.25">
      <c r="A386" s="5">
        <v>45678</v>
      </c>
      <c r="B386" s="30" t="s">
        <v>223</v>
      </c>
      <c r="C386" s="30">
        <v>2025</v>
      </c>
      <c r="D386" s="3" t="s">
        <v>233</v>
      </c>
      <c r="F386" s="4">
        <v>615</v>
      </c>
      <c r="G386" s="49">
        <f t="shared" si="8"/>
        <v>115.80000000001019</v>
      </c>
    </row>
    <row r="387" spans="1:7" x14ac:dyDescent="0.25">
      <c r="A387" s="5">
        <v>45678</v>
      </c>
      <c r="B387" s="30" t="s">
        <v>223</v>
      </c>
      <c r="C387" s="30">
        <v>2025</v>
      </c>
      <c r="D387" s="3" t="s">
        <v>234</v>
      </c>
      <c r="F387" s="4">
        <v>1000</v>
      </c>
      <c r="G387" s="49">
        <f t="shared" si="8"/>
        <v>-884.19999999998981</v>
      </c>
    </row>
    <row r="388" spans="1:7" x14ac:dyDescent="0.25">
      <c r="A388" s="5">
        <v>45678</v>
      </c>
      <c r="B388" s="30" t="s">
        <v>223</v>
      </c>
      <c r="C388" s="30">
        <v>2025</v>
      </c>
      <c r="D388" s="3" t="s">
        <v>235</v>
      </c>
      <c r="F388" s="4">
        <v>1410</v>
      </c>
      <c r="G388" s="49">
        <f t="shared" si="8"/>
        <v>-2294.1999999999898</v>
      </c>
    </row>
    <row r="389" spans="1:7" x14ac:dyDescent="0.25">
      <c r="A389" s="5">
        <v>45681</v>
      </c>
      <c r="B389" s="30" t="s">
        <v>223</v>
      </c>
      <c r="C389" s="30">
        <v>2025</v>
      </c>
      <c r="D389" s="3" t="s">
        <v>236</v>
      </c>
      <c r="F389" s="4">
        <v>700</v>
      </c>
      <c r="G389" s="49">
        <f t="shared" si="8"/>
        <v>-2994.1999999999898</v>
      </c>
    </row>
    <row r="390" spans="1:7" x14ac:dyDescent="0.25">
      <c r="A390" s="5">
        <v>45681</v>
      </c>
      <c r="B390" s="30" t="s">
        <v>223</v>
      </c>
      <c r="C390" s="30">
        <v>2025</v>
      </c>
      <c r="D390" s="3" t="s">
        <v>237</v>
      </c>
      <c r="F390" s="4">
        <v>1900</v>
      </c>
      <c r="G390" s="49">
        <f t="shared" si="8"/>
        <v>-4894.1999999999898</v>
      </c>
    </row>
    <row r="391" spans="1:7" x14ac:dyDescent="0.25">
      <c r="A391" s="5">
        <v>45681</v>
      </c>
      <c r="B391" s="30" t="s">
        <v>223</v>
      </c>
      <c r="C391" s="30">
        <v>2025</v>
      </c>
      <c r="D391" s="3" t="s">
        <v>106</v>
      </c>
      <c r="F391" s="4">
        <v>800</v>
      </c>
      <c r="G391" s="49">
        <f t="shared" si="8"/>
        <v>-5694.1999999999898</v>
      </c>
    </row>
    <row r="392" spans="1:7" x14ac:dyDescent="0.25">
      <c r="A392" s="5">
        <v>45681</v>
      </c>
      <c r="B392" s="30" t="s">
        <v>223</v>
      </c>
      <c r="C392" s="30">
        <v>2025</v>
      </c>
      <c r="D392" s="3" t="s">
        <v>28</v>
      </c>
      <c r="F392" s="4">
        <v>225</v>
      </c>
      <c r="G392" s="49">
        <f t="shared" si="8"/>
        <v>-5919.1999999999898</v>
      </c>
    </row>
    <row r="393" spans="1:7" x14ac:dyDescent="0.25">
      <c r="A393" s="5">
        <v>45681</v>
      </c>
      <c r="B393" s="30" t="s">
        <v>223</v>
      </c>
      <c r="C393" s="30">
        <v>2025</v>
      </c>
      <c r="D393" s="3" t="s">
        <v>28</v>
      </c>
      <c r="F393" s="4">
        <v>200</v>
      </c>
      <c r="G393" s="49">
        <f t="shared" si="8"/>
        <v>-6119.1999999999898</v>
      </c>
    </row>
    <row r="394" spans="1:7" x14ac:dyDescent="0.25">
      <c r="A394" s="5">
        <v>45681</v>
      </c>
      <c r="B394" s="30" t="s">
        <v>223</v>
      </c>
      <c r="C394" s="30">
        <v>2025</v>
      </c>
      <c r="D394" s="3" t="s">
        <v>19</v>
      </c>
      <c r="F394" s="4">
        <v>155</v>
      </c>
      <c r="G394" s="49">
        <f t="shared" si="8"/>
        <v>-6274.1999999999898</v>
      </c>
    </row>
    <row r="395" spans="1:7" x14ac:dyDescent="0.25">
      <c r="A395" s="5">
        <v>45681</v>
      </c>
      <c r="B395" s="30" t="s">
        <v>223</v>
      </c>
      <c r="C395" s="30">
        <v>2025</v>
      </c>
      <c r="D395" s="3" t="s">
        <v>54</v>
      </c>
      <c r="F395" s="4">
        <v>34.770000000000003</v>
      </c>
      <c r="G395" s="49">
        <f t="shared" si="8"/>
        <v>-6308.9699999999903</v>
      </c>
    </row>
    <row r="396" spans="1:7" x14ac:dyDescent="0.25">
      <c r="A396" s="5">
        <v>45681</v>
      </c>
      <c r="B396" s="30" t="s">
        <v>223</v>
      </c>
      <c r="C396" s="30">
        <v>2025</v>
      </c>
      <c r="D396" s="3" t="s">
        <v>239</v>
      </c>
      <c r="F396" s="4">
        <v>600</v>
      </c>
      <c r="G396" s="49">
        <f t="shared" si="8"/>
        <v>-6908.9699999999903</v>
      </c>
    </row>
    <row r="397" spans="1:7" x14ac:dyDescent="0.25">
      <c r="A397" s="5">
        <v>45681</v>
      </c>
      <c r="B397" s="30" t="s">
        <v>223</v>
      </c>
      <c r="C397" s="30">
        <v>2025</v>
      </c>
      <c r="D397" s="20" t="s">
        <v>190</v>
      </c>
      <c r="F397" s="4">
        <v>2100</v>
      </c>
      <c r="G397" s="49">
        <f t="shared" si="8"/>
        <v>-9008.9699999999903</v>
      </c>
    </row>
    <row r="398" spans="1:7" x14ac:dyDescent="0.25">
      <c r="A398" s="5">
        <v>45686</v>
      </c>
      <c r="B398" s="30" t="s">
        <v>223</v>
      </c>
      <c r="C398" s="30">
        <v>2025</v>
      </c>
      <c r="D398" s="41" t="s">
        <v>67</v>
      </c>
      <c r="E398" s="47">
        <v>15000</v>
      </c>
      <c r="G398" s="49">
        <f t="shared" si="8"/>
        <v>5991.0300000000097</v>
      </c>
    </row>
    <row r="399" spans="1:7" x14ac:dyDescent="0.25">
      <c r="A399" s="5">
        <v>45688</v>
      </c>
      <c r="B399" s="30" t="s">
        <v>223</v>
      </c>
      <c r="C399" s="30">
        <v>2025</v>
      </c>
      <c r="D399" s="3" t="s">
        <v>240</v>
      </c>
      <c r="F399" s="4">
        <v>3000</v>
      </c>
      <c r="G399" s="49">
        <f t="shared" si="8"/>
        <v>2991.0300000000097</v>
      </c>
    </row>
    <row r="400" spans="1:7" x14ac:dyDescent="0.25">
      <c r="A400" s="5">
        <v>45688</v>
      </c>
      <c r="B400" s="30" t="s">
        <v>223</v>
      </c>
      <c r="C400" s="30">
        <v>2025</v>
      </c>
      <c r="D400" s="20" t="s">
        <v>190</v>
      </c>
      <c r="F400" s="4">
        <v>2100</v>
      </c>
      <c r="G400" s="49">
        <f t="shared" si="8"/>
        <v>891.03000000000975</v>
      </c>
    </row>
    <row r="401" spans="1:7" x14ac:dyDescent="0.25">
      <c r="A401" s="5">
        <v>45688</v>
      </c>
      <c r="B401" s="30" t="s">
        <v>223</v>
      </c>
      <c r="C401" s="30">
        <v>2025</v>
      </c>
      <c r="D401" s="3" t="s">
        <v>241</v>
      </c>
      <c r="F401" s="4">
        <v>623</v>
      </c>
      <c r="G401" s="49">
        <f t="shared" si="8"/>
        <v>268.03000000000975</v>
      </c>
    </row>
    <row r="402" spans="1:7" x14ac:dyDescent="0.25">
      <c r="A402" s="5">
        <v>45688</v>
      </c>
      <c r="B402" s="30" t="s">
        <v>223</v>
      </c>
      <c r="C402" s="30">
        <v>2025</v>
      </c>
      <c r="D402" s="3" t="s">
        <v>242</v>
      </c>
      <c r="F402" s="4">
        <v>500</v>
      </c>
      <c r="G402" s="49">
        <f t="shared" si="8"/>
        <v>-231.96999999999025</v>
      </c>
    </row>
    <row r="403" spans="1:7" x14ac:dyDescent="0.25">
      <c r="A403" s="5">
        <v>45688</v>
      </c>
      <c r="B403" s="30" t="s">
        <v>223</v>
      </c>
      <c r="C403" s="30">
        <v>2025</v>
      </c>
      <c r="D403" s="3" t="s">
        <v>19</v>
      </c>
      <c r="F403" s="4">
        <v>3575</v>
      </c>
      <c r="G403" s="49">
        <f t="shared" si="8"/>
        <v>-3806.9699999999903</v>
      </c>
    </row>
    <row r="404" spans="1:7" x14ac:dyDescent="0.25">
      <c r="A404" s="5">
        <v>45688</v>
      </c>
      <c r="B404" s="30" t="s">
        <v>223</v>
      </c>
      <c r="C404" s="30">
        <v>2025</v>
      </c>
      <c r="D404" s="3" t="s">
        <v>65</v>
      </c>
      <c r="F404" s="4">
        <v>300</v>
      </c>
      <c r="G404" s="49">
        <f t="shared" si="8"/>
        <v>-4106.9699999999903</v>
      </c>
    </row>
    <row r="405" spans="1:7" x14ac:dyDescent="0.25">
      <c r="A405" s="5">
        <v>45688</v>
      </c>
      <c r="B405" s="30" t="s">
        <v>223</v>
      </c>
      <c r="C405" s="30">
        <v>2025</v>
      </c>
      <c r="D405" s="3" t="s">
        <v>72</v>
      </c>
      <c r="F405" s="4">
        <v>250</v>
      </c>
      <c r="G405" s="49">
        <f t="shared" si="8"/>
        <v>-4356.9699999999903</v>
      </c>
    </row>
    <row r="406" spans="1:7" x14ac:dyDescent="0.25">
      <c r="A406" s="5">
        <v>45688</v>
      </c>
      <c r="B406" s="30" t="s">
        <v>223</v>
      </c>
      <c r="C406" s="30">
        <v>2025</v>
      </c>
      <c r="D406" s="8" t="s">
        <v>243</v>
      </c>
      <c r="F406" s="4">
        <v>150</v>
      </c>
      <c r="G406" s="49">
        <f t="shared" si="8"/>
        <v>-4506.9699999999903</v>
      </c>
    </row>
    <row r="407" spans="1:7" x14ac:dyDescent="0.25">
      <c r="A407" s="5">
        <v>45688</v>
      </c>
      <c r="B407" s="30" t="s">
        <v>223</v>
      </c>
      <c r="C407" s="30">
        <v>2025</v>
      </c>
      <c r="D407" s="3" t="s">
        <v>244</v>
      </c>
      <c r="F407" s="4">
        <v>280</v>
      </c>
      <c r="G407" s="49">
        <f t="shared" si="8"/>
        <v>-4786.9699999999903</v>
      </c>
    </row>
    <row r="408" spans="1:7" x14ac:dyDescent="0.25">
      <c r="A408" s="5">
        <v>45688</v>
      </c>
      <c r="B408" s="30" t="s">
        <v>223</v>
      </c>
      <c r="C408" s="30">
        <v>2025</v>
      </c>
      <c r="D408" s="3" t="s">
        <v>245</v>
      </c>
      <c r="F408" s="4">
        <v>877.5</v>
      </c>
      <c r="G408" s="49">
        <f t="shared" si="8"/>
        <v>-5664.4699999999903</v>
      </c>
    </row>
    <row r="409" spans="1:7" x14ac:dyDescent="0.25">
      <c r="A409" s="5">
        <v>45688</v>
      </c>
      <c r="B409" s="30" t="s">
        <v>223</v>
      </c>
      <c r="C409" s="30">
        <v>2025</v>
      </c>
      <c r="D409" s="3" t="s">
        <v>245</v>
      </c>
      <c r="F409" s="4">
        <v>600</v>
      </c>
      <c r="G409" s="49">
        <f t="shared" si="8"/>
        <v>-6264.4699999999903</v>
      </c>
    </row>
    <row r="410" spans="1:7" x14ac:dyDescent="0.25">
      <c r="A410" s="5">
        <v>45688</v>
      </c>
      <c r="B410" s="30" t="s">
        <v>223</v>
      </c>
      <c r="C410" s="30">
        <v>2025</v>
      </c>
      <c r="D410" s="3" t="s">
        <v>246</v>
      </c>
      <c r="F410" s="4">
        <v>125</v>
      </c>
      <c r="G410" s="49">
        <f t="shared" si="8"/>
        <v>-6389.4699999999903</v>
      </c>
    </row>
    <row r="411" spans="1:7" x14ac:dyDescent="0.25">
      <c r="A411" s="5">
        <v>45688</v>
      </c>
      <c r="B411" s="30" t="s">
        <v>223</v>
      </c>
      <c r="C411" s="30">
        <v>2025</v>
      </c>
      <c r="D411" s="3" t="s">
        <v>247</v>
      </c>
      <c r="E411" s="49"/>
      <c r="F411" s="49">
        <v>90</v>
      </c>
      <c r="G411" s="49">
        <f t="shared" si="8"/>
        <v>-6479.4699999999903</v>
      </c>
    </row>
    <row r="412" spans="1:7" x14ac:dyDescent="0.25">
      <c r="A412" s="5">
        <v>45688</v>
      </c>
      <c r="B412" s="30" t="s">
        <v>223</v>
      </c>
      <c r="C412" s="30">
        <v>2025</v>
      </c>
      <c r="D412" s="3" t="s">
        <v>248</v>
      </c>
      <c r="F412" s="4">
        <v>460</v>
      </c>
      <c r="G412" s="49">
        <f t="shared" si="8"/>
        <v>-6939.4699999999903</v>
      </c>
    </row>
    <row r="413" spans="1:7" x14ac:dyDescent="0.25">
      <c r="A413" s="5">
        <v>45688</v>
      </c>
      <c r="B413" s="30" t="s">
        <v>223</v>
      </c>
      <c r="C413" s="30">
        <v>2025</v>
      </c>
      <c r="D413" s="3" t="s">
        <v>180</v>
      </c>
      <c r="F413" s="4">
        <v>1200</v>
      </c>
      <c r="G413" s="49">
        <f t="shared" si="8"/>
        <v>-8139.4699999999903</v>
      </c>
    </row>
    <row r="414" spans="1:7" x14ac:dyDescent="0.25">
      <c r="A414" s="5">
        <v>45688</v>
      </c>
      <c r="B414" s="30" t="s">
        <v>223</v>
      </c>
      <c r="C414" s="30">
        <v>2025</v>
      </c>
      <c r="D414" s="3" t="s">
        <v>180</v>
      </c>
      <c r="F414" s="4">
        <v>350</v>
      </c>
      <c r="G414" s="49">
        <f t="shared" si="8"/>
        <v>-8489.4699999999903</v>
      </c>
    </row>
    <row r="415" spans="1:7" x14ac:dyDescent="0.25">
      <c r="A415" s="5">
        <v>45688</v>
      </c>
      <c r="B415" s="30" t="s">
        <v>223</v>
      </c>
      <c r="C415" s="30">
        <v>2025</v>
      </c>
      <c r="D415" s="3" t="s">
        <v>180</v>
      </c>
      <c r="F415" s="4">
        <v>833</v>
      </c>
      <c r="G415" s="49">
        <f t="shared" si="8"/>
        <v>-9322.4699999999903</v>
      </c>
    </row>
    <row r="416" spans="1:7" x14ac:dyDescent="0.25">
      <c r="A416" s="5">
        <v>45688</v>
      </c>
      <c r="B416" s="30" t="s">
        <v>223</v>
      </c>
      <c r="C416" s="30">
        <v>2025</v>
      </c>
      <c r="D416" s="3" t="s">
        <v>247</v>
      </c>
      <c r="E416" s="49"/>
      <c r="F416" s="49">
        <v>420</v>
      </c>
      <c r="G416" s="49">
        <f t="shared" si="8"/>
        <v>-9742.4699999999903</v>
      </c>
    </row>
    <row r="417" spans="1:44" x14ac:dyDescent="0.25">
      <c r="A417" s="5">
        <v>45688</v>
      </c>
      <c r="B417" s="30" t="s">
        <v>223</v>
      </c>
      <c r="C417" s="30">
        <v>2025</v>
      </c>
      <c r="D417" s="3" t="s">
        <v>248</v>
      </c>
      <c r="F417" s="4">
        <v>240</v>
      </c>
      <c r="G417" s="49">
        <f t="shared" si="8"/>
        <v>-9982.4699999999903</v>
      </c>
    </row>
    <row r="418" spans="1:44" s="16" customFormat="1" x14ac:dyDescent="0.25">
      <c r="A418" s="5">
        <v>45688</v>
      </c>
      <c r="B418" s="30" t="s">
        <v>223</v>
      </c>
      <c r="C418" s="30">
        <v>2025</v>
      </c>
      <c r="D418" s="3" t="s">
        <v>248</v>
      </c>
      <c r="E418" s="9"/>
      <c r="F418" s="9">
        <v>300</v>
      </c>
      <c r="G418" s="47">
        <f t="shared" si="8"/>
        <v>-10282.46999999999</v>
      </c>
      <c r="H418" s="26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</row>
    <row r="419" spans="1:44" x14ac:dyDescent="0.25">
      <c r="A419" s="5">
        <v>45688</v>
      </c>
      <c r="B419" s="30" t="s">
        <v>223</v>
      </c>
      <c r="C419" s="30">
        <v>2025</v>
      </c>
      <c r="D419" s="3" t="s">
        <v>180</v>
      </c>
      <c r="F419" s="4">
        <v>770</v>
      </c>
      <c r="G419" s="49">
        <f t="shared" si="8"/>
        <v>-11052.46999999999</v>
      </c>
    </row>
    <row r="420" spans="1:44" x14ac:dyDescent="0.25">
      <c r="A420" s="5">
        <v>45688</v>
      </c>
      <c r="B420" s="30" t="s">
        <v>223</v>
      </c>
      <c r="C420" s="30">
        <v>2025</v>
      </c>
      <c r="D420" s="3" t="s">
        <v>249</v>
      </c>
      <c r="F420" s="4">
        <v>350</v>
      </c>
      <c r="G420" s="49">
        <f t="shared" si="8"/>
        <v>-11402.46999999999</v>
      </c>
    </row>
    <row r="421" spans="1:44" x14ac:dyDescent="0.25">
      <c r="A421" s="5">
        <v>45692</v>
      </c>
      <c r="B421" s="30" t="s">
        <v>250</v>
      </c>
      <c r="C421" s="30">
        <v>2025</v>
      </c>
      <c r="D421" s="41" t="s">
        <v>67</v>
      </c>
      <c r="E421" s="47">
        <v>15000</v>
      </c>
      <c r="G421" s="49">
        <f t="shared" si="8"/>
        <v>3597.5300000000097</v>
      </c>
    </row>
    <row r="422" spans="1:44" x14ac:dyDescent="0.25">
      <c r="A422" s="5">
        <v>45695</v>
      </c>
      <c r="B422" s="30" t="s">
        <v>250</v>
      </c>
      <c r="C422" s="30">
        <v>2025</v>
      </c>
      <c r="D422" s="41" t="s">
        <v>67</v>
      </c>
      <c r="E422" s="47">
        <v>5000</v>
      </c>
      <c r="G422" s="49">
        <f t="shared" si="8"/>
        <v>8597.5300000000097</v>
      </c>
    </row>
    <row r="423" spans="1:44" x14ac:dyDescent="0.25">
      <c r="A423" s="5">
        <v>45702</v>
      </c>
      <c r="B423" s="30" t="s">
        <v>250</v>
      </c>
      <c r="C423" s="30">
        <v>2025</v>
      </c>
      <c r="D423" s="20" t="s">
        <v>190</v>
      </c>
      <c r="F423" s="4">
        <v>4200</v>
      </c>
      <c r="G423" s="49">
        <f t="shared" si="8"/>
        <v>4397.5300000000097</v>
      </c>
    </row>
    <row r="424" spans="1:44" x14ac:dyDescent="0.25">
      <c r="A424" s="5">
        <v>45702</v>
      </c>
      <c r="B424" s="30" t="s">
        <v>250</v>
      </c>
      <c r="C424" s="30">
        <v>2025</v>
      </c>
      <c r="D424" s="3" t="s">
        <v>225</v>
      </c>
      <c r="F424" s="4">
        <v>230</v>
      </c>
      <c r="G424" s="49">
        <f t="shared" si="8"/>
        <v>4167.5300000000097</v>
      </c>
    </row>
    <row r="425" spans="1:44" x14ac:dyDescent="0.25">
      <c r="A425" s="5">
        <v>45702</v>
      </c>
      <c r="B425" s="30" t="s">
        <v>250</v>
      </c>
      <c r="C425" s="30">
        <v>2025</v>
      </c>
      <c r="D425" s="3" t="s">
        <v>251</v>
      </c>
      <c r="F425" s="4">
        <v>500</v>
      </c>
      <c r="G425" s="49">
        <f t="shared" si="8"/>
        <v>3667.5300000000097</v>
      </c>
    </row>
    <row r="426" spans="1:44" x14ac:dyDescent="0.25">
      <c r="A426" s="5">
        <v>45702</v>
      </c>
      <c r="B426" s="30" t="s">
        <v>250</v>
      </c>
      <c r="C426" s="30">
        <v>2025</v>
      </c>
      <c r="D426" s="3" t="s">
        <v>19</v>
      </c>
      <c r="F426" s="4">
        <v>400</v>
      </c>
      <c r="G426" s="49">
        <f t="shared" si="8"/>
        <v>3267.5300000000097</v>
      </c>
    </row>
    <row r="427" spans="1:44" s="16" customFormat="1" x14ac:dyDescent="0.25">
      <c r="A427" s="5">
        <v>45702</v>
      </c>
      <c r="B427" s="30" t="s">
        <v>250</v>
      </c>
      <c r="C427" s="30">
        <v>2025</v>
      </c>
      <c r="D427" s="8" t="s">
        <v>193</v>
      </c>
      <c r="E427" s="9"/>
      <c r="F427" s="9">
        <v>1778</v>
      </c>
      <c r="G427" s="49">
        <f t="shared" si="8"/>
        <v>1489.5300000000097</v>
      </c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</row>
    <row r="428" spans="1:44" s="16" customFormat="1" x14ac:dyDescent="0.25">
      <c r="A428" s="5">
        <v>45702</v>
      </c>
      <c r="B428" s="30" t="s">
        <v>250</v>
      </c>
      <c r="C428" s="30">
        <v>2025</v>
      </c>
      <c r="D428" s="8" t="s">
        <v>252</v>
      </c>
      <c r="E428" s="9"/>
      <c r="F428" s="9">
        <v>7800</v>
      </c>
      <c r="G428" s="49">
        <f t="shared" si="8"/>
        <v>-6310.4699999999903</v>
      </c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</row>
    <row r="429" spans="1:44" s="16" customFormat="1" x14ac:dyDescent="0.25">
      <c r="A429" s="5">
        <v>45702</v>
      </c>
      <c r="B429" s="30" t="s">
        <v>250</v>
      </c>
      <c r="C429" s="30">
        <v>2025</v>
      </c>
      <c r="D429" s="8" t="s">
        <v>253</v>
      </c>
      <c r="E429" s="9"/>
      <c r="F429" s="9">
        <v>170</v>
      </c>
      <c r="G429" s="49">
        <f t="shared" si="8"/>
        <v>-6480.4699999999903</v>
      </c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</row>
    <row r="430" spans="1:44" s="16" customFormat="1" x14ac:dyDescent="0.25">
      <c r="A430" s="5">
        <v>45702</v>
      </c>
      <c r="B430" s="30" t="s">
        <v>250</v>
      </c>
      <c r="C430" s="30">
        <v>2025</v>
      </c>
      <c r="D430" s="8" t="s">
        <v>254</v>
      </c>
      <c r="E430" s="9"/>
      <c r="F430" s="9">
        <v>2000</v>
      </c>
      <c r="G430" s="49">
        <f t="shared" si="8"/>
        <v>-8480.4699999999903</v>
      </c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</row>
    <row r="431" spans="1:44" s="16" customFormat="1" x14ac:dyDescent="0.25">
      <c r="A431" s="5">
        <v>45705</v>
      </c>
      <c r="B431" s="30" t="s">
        <v>250</v>
      </c>
      <c r="C431" s="30">
        <v>2025</v>
      </c>
      <c r="D431" s="41" t="s">
        <v>67</v>
      </c>
      <c r="E431" s="47">
        <v>15000</v>
      </c>
      <c r="F431" s="9"/>
      <c r="G431" s="49">
        <f t="shared" si="8"/>
        <v>6519.5300000000097</v>
      </c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</row>
    <row r="432" spans="1:44" s="16" customFormat="1" x14ac:dyDescent="0.25">
      <c r="A432" s="5">
        <v>45706</v>
      </c>
      <c r="B432" s="30" t="s">
        <v>250</v>
      </c>
      <c r="C432" s="30">
        <v>2025</v>
      </c>
      <c r="D432" s="8" t="s">
        <v>255</v>
      </c>
      <c r="E432" s="9"/>
      <c r="F432" s="9">
        <v>145</v>
      </c>
      <c r="G432" s="49">
        <f t="shared" si="8"/>
        <v>6374.5300000000097</v>
      </c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</row>
    <row r="433" spans="1:44" s="16" customFormat="1" x14ac:dyDescent="0.25">
      <c r="A433" s="5">
        <v>45706</v>
      </c>
      <c r="B433" s="30" t="s">
        <v>250</v>
      </c>
      <c r="C433" s="30">
        <v>2025</v>
      </c>
      <c r="D433" s="8" t="s">
        <v>256</v>
      </c>
      <c r="E433" s="9"/>
      <c r="F433" s="9">
        <v>313</v>
      </c>
      <c r="G433" s="49">
        <f t="shared" si="8"/>
        <v>6061.5300000000097</v>
      </c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</row>
    <row r="434" spans="1:44" x14ac:dyDescent="0.25">
      <c r="A434" s="5">
        <v>45706</v>
      </c>
      <c r="B434" s="30" t="s">
        <v>250</v>
      </c>
      <c r="C434" s="30">
        <v>2025</v>
      </c>
      <c r="D434" s="3" t="s">
        <v>255</v>
      </c>
      <c r="F434" s="4">
        <v>237</v>
      </c>
      <c r="G434" s="49">
        <f t="shared" si="8"/>
        <v>5824.5300000000097</v>
      </c>
    </row>
    <row r="435" spans="1:44" x14ac:dyDescent="0.25">
      <c r="A435" s="5">
        <v>45706</v>
      </c>
      <c r="B435" s="30" t="s">
        <v>250</v>
      </c>
      <c r="C435" s="30">
        <v>2025</v>
      </c>
      <c r="D435" s="3" t="s">
        <v>257</v>
      </c>
      <c r="F435" s="4">
        <v>300</v>
      </c>
      <c r="G435" s="49">
        <f t="shared" si="8"/>
        <v>5524.5300000000097</v>
      </c>
    </row>
    <row r="436" spans="1:44" x14ac:dyDescent="0.25">
      <c r="A436" s="5">
        <v>45706</v>
      </c>
      <c r="B436" s="30" t="s">
        <v>250</v>
      </c>
      <c r="C436" s="30">
        <v>2025</v>
      </c>
      <c r="D436" s="3" t="s">
        <v>19</v>
      </c>
      <c r="F436" s="4">
        <v>705</v>
      </c>
      <c r="G436" s="49">
        <f t="shared" si="8"/>
        <v>4819.5300000000097</v>
      </c>
    </row>
    <row r="437" spans="1:44" x14ac:dyDescent="0.25">
      <c r="A437" s="5">
        <v>45706</v>
      </c>
      <c r="B437" s="30" t="s">
        <v>250</v>
      </c>
      <c r="C437" s="30">
        <v>2025</v>
      </c>
      <c r="D437" s="3" t="s">
        <v>28</v>
      </c>
      <c r="F437" s="4">
        <v>380</v>
      </c>
      <c r="G437" s="49">
        <f t="shared" si="8"/>
        <v>4439.5300000000097</v>
      </c>
    </row>
    <row r="438" spans="1:44" x14ac:dyDescent="0.25">
      <c r="A438" s="5">
        <v>45716</v>
      </c>
      <c r="B438" s="30" t="s">
        <v>250</v>
      </c>
      <c r="C438" s="30">
        <v>2025</v>
      </c>
      <c r="D438" s="20" t="s">
        <v>190</v>
      </c>
      <c r="F438" s="4">
        <v>2100</v>
      </c>
      <c r="G438" s="49">
        <f t="shared" si="8"/>
        <v>2339.5300000000097</v>
      </c>
    </row>
    <row r="439" spans="1:44" x14ac:dyDescent="0.25">
      <c r="A439" s="5">
        <v>45716</v>
      </c>
      <c r="B439" s="30" t="s">
        <v>250</v>
      </c>
      <c r="C439" s="30">
        <v>2025</v>
      </c>
      <c r="D439" s="3" t="s">
        <v>258</v>
      </c>
      <c r="F439" s="4">
        <v>5750</v>
      </c>
      <c r="G439" s="49">
        <f t="shared" ref="G439:G452" si="9">G438+E439-F439</f>
        <v>-3410.4699999999903</v>
      </c>
    </row>
    <row r="440" spans="1:44" x14ac:dyDescent="0.25">
      <c r="A440" s="5">
        <v>45716</v>
      </c>
      <c r="B440" s="30" t="s">
        <v>250</v>
      </c>
      <c r="C440" s="30">
        <v>2025</v>
      </c>
      <c r="D440" s="8" t="s">
        <v>19</v>
      </c>
      <c r="F440" s="4">
        <v>220</v>
      </c>
      <c r="G440" s="49">
        <f t="shared" si="9"/>
        <v>-3630.4699999999903</v>
      </c>
    </row>
    <row r="441" spans="1:44" x14ac:dyDescent="0.25">
      <c r="A441" s="5">
        <v>45716</v>
      </c>
      <c r="B441" s="30" t="s">
        <v>250</v>
      </c>
      <c r="C441" s="30">
        <v>2025</v>
      </c>
      <c r="D441" s="3" t="s">
        <v>259</v>
      </c>
      <c r="F441" s="4">
        <v>500</v>
      </c>
      <c r="G441" s="49">
        <f t="shared" si="9"/>
        <v>-4130.4699999999903</v>
      </c>
    </row>
    <row r="442" spans="1:44" x14ac:dyDescent="0.25">
      <c r="A442" s="5">
        <v>45716</v>
      </c>
      <c r="B442" s="30" t="s">
        <v>250</v>
      </c>
      <c r="C442" s="30">
        <v>2025</v>
      </c>
      <c r="D442" s="3" t="s">
        <v>260</v>
      </c>
      <c r="F442" s="4">
        <v>450</v>
      </c>
      <c r="G442" s="49">
        <f t="shared" si="9"/>
        <v>-4580.4699999999903</v>
      </c>
    </row>
    <row r="443" spans="1:44" s="16" customFormat="1" x14ac:dyDescent="0.25">
      <c r="A443" s="5">
        <v>45716</v>
      </c>
      <c r="B443" s="30" t="s">
        <v>250</v>
      </c>
      <c r="C443" s="30">
        <v>2025</v>
      </c>
      <c r="D443" s="8" t="s">
        <v>261</v>
      </c>
      <c r="E443" s="47"/>
      <c r="F443" s="47">
        <v>3500</v>
      </c>
      <c r="G443" s="47">
        <f t="shared" si="9"/>
        <v>-8080.4699999999903</v>
      </c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</row>
    <row r="444" spans="1:44" s="16" customFormat="1" x14ac:dyDescent="0.25">
      <c r="A444" s="5">
        <v>45716</v>
      </c>
      <c r="B444" s="30" t="s">
        <v>250</v>
      </c>
      <c r="C444" s="30">
        <v>2025</v>
      </c>
      <c r="D444" s="8" t="s">
        <v>262</v>
      </c>
      <c r="E444" s="9"/>
      <c r="F444" s="9">
        <v>2690</v>
      </c>
      <c r="G444" s="47">
        <f t="shared" si="9"/>
        <v>-10770.46999999999</v>
      </c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</row>
    <row r="445" spans="1:44" s="16" customFormat="1" x14ac:dyDescent="0.25">
      <c r="A445" s="5">
        <v>45723</v>
      </c>
      <c r="B445" s="30" t="s">
        <v>263</v>
      </c>
      <c r="C445" s="30">
        <v>2025</v>
      </c>
      <c r="D445" s="8" t="s">
        <v>264</v>
      </c>
      <c r="E445" s="9"/>
      <c r="F445" s="9">
        <v>615</v>
      </c>
      <c r="G445" s="47">
        <f t="shared" si="9"/>
        <v>-11385.46999999999</v>
      </c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</row>
    <row r="446" spans="1:44" s="16" customFormat="1" x14ac:dyDescent="0.25">
      <c r="A446" s="5">
        <v>45723</v>
      </c>
      <c r="B446" s="30" t="s">
        <v>263</v>
      </c>
      <c r="C446" s="30">
        <v>2025</v>
      </c>
      <c r="D446" s="8" t="s">
        <v>265</v>
      </c>
      <c r="E446" s="9"/>
      <c r="F446" s="9">
        <v>2150</v>
      </c>
      <c r="G446" s="47">
        <f t="shared" si="9"/>
        <v>-13535.46999999999</v>
      </c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</row>
    <row r="447" spans="1:44" x14ac:dyDescent="0.25">
      <c r="A447" s="5">
        <v>45723</v>
      </c>
      <c r="B447" s="30" t="s">
        <v>263</v>
      </c>
      <c r="C447" s="30">
        <v>2025</v>
      </c>
      <c r="D447" s="3" t="s">
        <v>259</v>
      </c>
      <c r="F447" s="4">
        <v>500</v>
      </c>
      <c r="G447" s="47">
        <f t="shared" si="9"/>
        <v>-14035.46999999999</v>
      </c>
    </row>
    <row r="448" spans="1:44" x14ac:dyDescent="0.25">
      <c r="A448" s="5">
        <v>45723</v>
      </c>
      <c r="B448" s="30" t="s">
        <v>263</v>
      </c>
      <c r="C448" s="30">
        <v>2025</v>
      </c>
      <c r="D448" s="20" t="s">
        <v>190</v>
      </c>
      <c r="F448" s="4">
        <v>2100</v>
      </c>
      <c r="G448" s="47">
        <f t="shared" si="9"/>
        <v>-16135.46999999999</v>
      </c>
    </row>
    <row r="449" spans="1:7" x14ac:dyDescent="0.25">
      <c r="A449" s="5">
        <v>45723</v>
      </c>
      <c r="B449" s="30" t="s">
        <v>263</v>
      </c>
      <c r="C449" s="30">
        <v>2025</v>
      </c>
      <c r="D449" s="3" t="s">
        <v>266</v>
      </c>
      <c r="F449" s="4">
        <v>2500</v>
      </c>
      <c r="G449" s="47">
        <f t="shared" si="9"/>
        <v>-18635.46999999999</v>
      </c>
    </row>
    <row r="450" spans="1:7" x14ac:dyDescent="0.25">
      <c r="A450" s="5">
        <v>45726</v>
      </c>
      <c r="B450" s="30" t="s">
        <v>263</v>
      </c>
      <c r="C450" s="30">
        <v>2025</v>
      </c>
      <c r="D450" s="41" t="s">
        <v>67</v>
      </c>
      <c r="E450" s="47">
        <v>25000</v>
      </c>
      <c r="G450" s="47">
        <f t="shared" si="9"/>
        <v>6364.5300000000097</v>
      </c>
    </row>
    <row r="451" spans="1:7" x14ac:dyDescent="0.25">
      <c r="A451" s="5">
        <v>45730</v>
      </c>
      <c r="B451" s="30" t="s">
        <v>263</v>
      </c>
      <c r="C451" s="30">
        <v>2025</v>
      </c>
      <c r="D451" s="3" t="s">
        <v>267</v>
      </c>
      <c r="F451" s="4">
        <v>737.41</v>
      </c>
      <c r="G451" s="47">
        <f t="shared" si="9"/>
        <v>5627.1200000000099</v>
      </c>
    </row>
    <row r="452" spans="1:7" x14ac:dyDescent="0.25">
      <c r="A452" s="5">
        <v>45730</v>
      </c>
      <c r="B452" s="30" t="s">
        <v>263</v>
      </c>
      <c r="C452" s="30">
        <v>2025</v>
      </c>
      <c r="D452" s="3" t="s">
        <v>268</v>
      </c>
      <c r="F452" s="4">
        <v>1500</v>
      </c>
      <c r="G452" s="47">
        <f t="shared" si="9"/>
        <v>4127.1200000000099</v>
      </c>
    </row>
    <row r="453" spans="1:7" x14ac:dyDescent="0.25">
      <c r="A453" s="5">
        <v>45730</v>
      </c>
      <c r="B453" s="30" t="s">
        <v>263</v>
      </c>
      <c r="C453" s="30">
        <v>2025</v>
      </c>
      <c r="D453" s="3" t="s">
        <v>269</v>
      </c>
      <c r="F453" s="4">
        <v>405</v>
      </c>
      <c r="G453" s="49">
        <f t="shared" ref="G453:G502" si="10">G452+E453-F453</f>
        <v>3722.1200000000099</v>
      </c>
    </row>
    <row r="454" spans="1:7" x14ac:dyDescent="0.25">
      <c r="A454" s="5">
        <v>45730</v>
      </c>
      <c r="B454" s="30" t="s">
        <v>263</v>
      </c>
      <c r="C454" s="30">
        <v>2025</v>
      </c>
      <c r="D454" s="8" t="s">
        <v>270</v>
      </c>
      <c r="F454" s="4">
        <v>400</v>
      </c>
      <c r="G454" s="49">
        <f t="shared" si="10"/>
        <v>3322.1200000000099</v>
      </c>
    </row>
    <row r="455" spans="1:7" x14ac:dyDescent="0.25">
      <c r="A455" s="5">
        <v>45730</v>
      </c>
      <c r="B455" s="30" t="s">
        <v>263</v>
      </c>
      <c r="C455" s="30">
        <v>2025</v>
      </c>
      <c r="D455" s="8" t="s">
        <v>19</v>
      </c>
      <c r="F455" s="4">
        <v>200</v>
      </c>
      <c r="G455" s="49">
        <f t="shared" si="10"/>
        <v>3122.1200000000099</v>
      </c>
    </row>
    <row r="456" spans="1:7" x14ac:dyDescent="0.25">
      <c r="A456" s="5">
        <v>45741</v>
      </c>
      <c r="B456" s="30" t="s">
        <v>263</v>
      </c>
      <c r="C456" s="30">
        <v>2025</v>
      </c>
      <c r="D456" s="3" t="s">
        <v>49</v>
      </c>
      <c r="F456" s="4">
        <v>665</v>
      </c>
      <c r="G456" s="49">
        <f t="shared" si="10"/>
        <v>2457.1200000000099</v>
      </c>
    </row>
    <row r="457" spans="1:7" x14ac:dyDescent="0.25">
      <c r="A457" s="5">
        <v>45741</v>
      </c>
      <c r="B457" s="30" t="s">
        <v>263</v>
      </c>
      <c r="C457" s="30">
        <v>2025</v>
      </c>
      <c r="D457" s="3" t="s">
        <v>271</v>
      </c>
      <c r="F457" s="4">
        <v>2230</v>
      </c>
      <c r="G457" s="49">
        <f t="shared" si="10"/>
        <v>227.1200000000099</v>
      </c>
    </row>
    <row r="458" spans="1:7" x14ac:dyDescent="0.25">
      <c r="A458" s="5">
        <v>45741</v>
      </c>
      <c r="B458" s="30" t="s">
        <v>263</v>
      </c>
      <c r="C458" s="30">
        <v>2025</v>
      </c>
      <c r="D458" s="3" t="s">
        <v>272</v>
      </c>
      <c r="F458" s="4">
        <v>2000</v>
      </c>
      <c r="G458" s="49">
        <f t="shared" si="10"/>
        <v>-1772.8799999999901</v>
      </c>
    </row>
    <row r="459" spans="1:7" x14ac:dyDescent="0.25">
      <c r="A459" s="5">
        <v>45741</v>
      </c>
      <c r="B459" s="30" t="s">
        <v>263</v>
      </c>
      <c r="C459" s="30">
        <v>2025</v>
      </c>
      <c r="D459" s="3" t="s">
        <v>273</v>
      </c>
      <c r="F459" s="4">
        <v>3000</v>
      </c>
      <c r="G459" s="49">
        <f t="shared" si="10"/>
        <v>-4772.8799999999901</v>
      </c>
    </row>
    <row r="460" spans="1:7" x14ac:dyDescent="0.25">
      <c r="A460" s="5">
        <v>45741</v>
      </c>
      <c r="B460" s="30" t="s">
        <v>263</v>
      </c>
      <c r="C460" s="30">
        <v>2025</v>
      </c>
      <c r="D460" s="3" t="s">
        <v>274</v>
      </c>
      <c r="F460" s="4">
        <v>810.75</v>
      </c>
      <c r="G460" s="49">
        <f t="shared" si="10"/>
        <v>-5583.6299999999901</v>
      </c>
    </row>
    <row r="461" spans="1:7" x14ac:dyDescent="0.25">
      <c r="A461" s="5">
        <v>45741</v>
      </c>
      <c r="B461" s="30" t="s">
        <v>263</v>
      </c>
      <c r="C461" s="30">
        <v>2025</v>
      </c>
      <c r="D461" s="41" t="s">
        <v>67</v>
      </c>
      <c r="E461" s="47">
        <v>7000</v>
      </c>
      <c r="G461" s="49">
        <f t="shared" si="10"/>
        <v>1416.3700000000099</v>
      </c>
    </row>
    <row r="462" spans="1:7" x14ac:dyDescent="0.25">
      <c r="A462" s="5">
        <v>45751</v>
      </c>
      <c r="B462" s="30" t="s">
        <v>280</v>
      </c>
      <c r="C462" s="30">
        <v>2025</v>
      </c>
      <c r="D462" s="3" t="s">
        <v>275</v>
      </c>
      <c r="F462" s="4">
        <v>1200</v>
      </c>
      <c r="G462" s="49">
        <f t="shared" si="10"/>
        <v>216.3700000000099</v>
      </c>
    </row>
    <row r="463" spans="1:7" x14ac:dyDescent="0.25">
      <c r="A463" s="5">
        <v>45751</v>
      </c>
      <c r="B463" s="30" t="s">
        <v>280</v>
      </c>
      <c r="C463" s="30">
        <v>2025</v>
      </c>
      <c r="D463" s="3" t="s">
        <v>276</v>
      </c>
      <c r="F463" s="4">
        <v>1000</v>
      </c>
      <c r="G463" s="49">
        <f t="shared" si="10"/>
        <v>-783.6299999999901</v>
      </c>
    </row>
    <row r="464" spans="1:7" x14ac:dyDescent="0.25">
      <c r="A464" s="5">
        <v>45751</v>
      </c>
      <c r="B464" s="30" t="s">
        <v>280</v>
      </c>
      <c r="C464" s="30">
        <v>2025</v>
      </c>
      <c r="D464" s="20" t="s">
        <v>190</v>
      </c>
      <c r="F464" s="4">
        <v>2100</v>
      </c>
      <c r="G464" s="49">
        <f t="shared" si="10"/>
        <v>-2883.6299999999901</v>
      </c>
    </row>
    <row r="465" spans="1:44" x14ac:dyDescent="0.25">
      <c r="A465" s="5">
        <v>45751</v>
      </c>
      <c r="B465" s="30" t="s">
        <v>280</v>
      </c>
      <c r="C465" s="30">
        <v>2025</v>
      </c>
      <c r="D465" s="3" t="s">
        <v>277</v>
      </c>
      <c r="F465" s="4">
        <v>230</v>
      </c>
      <c r="G465" s="49">
        <f t="shared" si="10"/>
        <v>-3113.6299999999901</v>
      </c>
    </row>
    <row r="466" spans="1:44" x14ac:dyDescent="0.25">
      <c r="A466" s="5">
        <v>45751</v>
      </c>
      <c r="B466" s="30" t="s">
        <v>280</v>
      </c>
      <c r="C466" s="30">
        <v>2025</v>
      </c>
      <c r="D466" s="3" t="s">
        <v>277</v>
      </c>
      <c r="F466" s="4">
        <v>230</v>
      </c>
      <c r="G466" s="49">
        <f t="shared" si="10"/>
        <v>-3343.6299999999901</v>
      </c>
    </row>
    <row r="467" spans="1:44" x14ac:dyDescent="0.25">
      <c r="A467" s="5">
        <v>45751</v>
      </c>
      <c r="B467" s="30" t="s">
        <v>280</v>
      </c>
      <c r="C467" s="30">
        <v>2025</v>
      </c>
      <c r="D467" s="3" t="s">
        <v>278</v>
      </c>
      <c r="F467" s="4">
        <v>221.1</v>
      </c>
      <c r="G467" s="49">
        <f t="shared" si="10"/>
        <v>-3564.72999999999</v>
      </c>
    </row>
    <row r="468" spans="1:44" x14ac:dyDescent="0.25">
      <c r="A468" s="5">
        <v>45751</v>
      </c>
      <c r="B468" s="30" t="s">
        <v>280</v>
      </c>
      <c r="C468" s="30">
        <v>2025</v>
      </c>
      <c r="D468" s="3" t="s">
        <v>279</v>
      </c>
      <c r="F468" s="4">
        <v>200</v>
      </c>
      <c r="G468" s="49">
        <f t="shared" si="10"/>
        <v>-3764.72999999999</v>
      </c>
    </row>
    <row r="469" spans="1:44" x14ac:dyDescent="0.25">
      <c r="A469" s="5">
        <v>45751</v>
      </c>
      <c r="B469" s="30" t="s">
        <v>280</v>
      </c>
      <c r="C469" s="30">
        <v>2025</v>
      </c>
      <c r="D469" s="2" t="s">
        <v>242</v>
      </c>
      <c r="F469" s="4">
        <v>500</v>
      </c>
      <c r="G469" s="49">
        <f t="shared" si="10"/>
        <v>-4264.7299999999905</v>
      </c>
    </row>
    <row r="470" spans="1:44" x14ac:dyDescent="0.25">
      <c r="A470" s="5">
        <v>45751</v>
      </c>
      <c r="B470" s="30" t="s">
        <v>280</v>
      </c>
      <c r="C470" s="30">
        <v>2025</v>
      </c>
      <c r="D470" s="2" t="s">
        <v>225</v>
      </c>
      <c r="F470" s="4">
        <v>120</v>
      </c>
      <c r="G470" s="49">
        <f t="shared" si="10"/>
        <v>-4384.7299999999905</v>
      </c>
    </row>
    <row r="471" spans="1:44" s="53" customFormat="1" x14ac:dyDescent="0.25">
      <c r="A471" s="5">
        <v>45751</v>
      </c>
      <c r="B471" s="30" t="s">
        <v>280</v>
      </c>
      <c r="C471" s="30">
        <v>2025</v>
      </c>
      <c r="D471" s="25" t="s">
        <v>61</v>
      </c>
      <c r="E471" s="51"/>
      <c r="F471" s="51">
        <v>295</v>
      </c>
      <c r="G471" s="51">
        <f t="shared" si="10"/>
        <v>-4679.7299999999905</v>
      </c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</row>
    <row r="472" spans="1:44" s="21" customFormat="1" x14ac:dyDescent="0.25">
      <c r="A472" s="5">
        <v>45751</v>
      </c>
      <c r="B472" s="30" t="s">
        <v>280</v>
      </c>
      <c r="C472" s="30">
        <v>2025</v>
      </c>
      <c r="D472" s="25" t="s">
        <v>61</v>
      </c>
      <c r="E472" s="12"/>
      <c r="F472" s="12">
        <v>280</v>
      </c>
      <c r="G472" s="50">
        <f t="shared" si="10"/>
        <v>-4959.7299999999905</v>
      </c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</row>
    <row r="473" spans="1:44" x14ac:dyDescent="0.25">
      <c r="A473" s="5">
        <v>45751</v>
      </c>
      <c r="B473" s="30" t="s">
        <v>280</v>
      </c>
      <c r="C473" s="30">
        <v>2025</v>
      </c>
      <c r="D473" s="25" t="s">
        <v>61</v>
      </c>
      <c r="F473" s="4">
        <v>200</v>
      </c>
      <c r="G473" s="50">
        <f t="shared" si="10"/>
        <v>-5159.7299999999905</v>
      </c>
    </row>
    <row r="474" spans="1:44" x14ac:dyDescent="0.25">
      <c r="A474" s="5">
        <v>45751</v>
      </c>
      <c r="B474" s="30" t="s">
        <v>280</v>
      </c>
      <c r="C474" s="30">
        <v>2025</v>
      </c>
      <c r="D474" s="25" t="s">
        <v>61</v>
      </c>
      <c r="F474" s="4">
        <v>570</v>
      </c>
      <c r="G474" s="50">
        <f t="shared" si="10"/>
        <v>-5729.7299999999905</v>
      </c>
    </row>
    <row r="475" spans="1:44" x14ac:dyDescent="0.25">
      <c r="A475" s="5">
        <v>45754</v>
      </c>
      <c r="B475" s="30" t="s">
        <v>280</v>
      </c>
      <c r="C475" s="30">
        <v>2025</v>
      </c>
      <c r="D475" s="41" t="s">
        <v>67</v>
      </c>
      <c r="E475" s="47">
        <v>10000</v>
      </c>
      <c r="G475" s="50">
        <f t="shared" si="10"/>
        <v>4270.2700000000095</v>
      </c>
    </row>
    <row r="476" spans="1:44" x14ac:dyDescent="0.25">
      <c r="A476" s="5">
        <v>45762</v>
      </c>
      <c r="B476" s="30" t="s">
        <v>280</v>
      </c>
      <c r="C476" s="30">
        <v>2025</v>
      </c>
      <c r="D476" s="2" t="s">
        <v>134</v>
      </c>
      <c r="F476" s="4">
        <v>1000</v>
      </c>
      <c r="G476" s="50">
        <f t="shared" si="10"/>
        <v>3270.2700000000095</v>
      </c>
    </row>
    <row r="477" spans="1:44" x14ac:dyDescent="0.25">
      <c r="A477" s="5">
        <v>45762</v>
      </c>
      <c r="B477" s="30" t="s">
        <v>280</v>
      </c>
      <c r="C477" s="30">
        <v>2025</v>
      </c>
      <c r="D477" s="20" t="s">
        <v>190</v>
      </c>
      <c r="F477" s="4">
        <v>2100</v>
      </c>
      <c r="G477" s="50">
        <f t="shared" si="10"/>
        <v>1170.2700000000095</v>
      </c>
    </row>
    <row r="478" spans="1:44" x14ac:dyDescent="0.25">
      <c r="A478" s="5">
        <v>45762</v>
      </c>
      <c r="B478" s="30" t="s">
        <v>280</v>
      </c>
      <c r="C478" s="30">
        <v>2025</v>
      </c>
      <c r="D478" s="2" t="s">
        <v>281</v>
      </c>
      <c r="F478" s="4">
        <v>1000</v>
      </c>
      <c r="G478" s="50">
        <f t="shared" si="10"/>
        <v>170.27000000000953</v>
      </c>
    </row>
    <row r="479" spans="1:44" x14ac:dyDescent="0.25">
      <c r="A479" s="5">
        <v>45762</v>
      </c>
      <c r="B479" s="30" t="s">
        <v>280</v>
      </c>
      <c r="C479" s="30">
        <v>2025</v>
      </c>
      <c r="D479" s="2" t="s">
        <v>282</v>
      </c>
      <c r="F479" s="4">
        <v>405</v>
      </c>
      <c r="G479" s="50">
        <f t="shared" si="10"/>
        <v>-234.72999999999047</v>
      </c>
    </row>
    <row r="480" spans="1:44" x14ac:dyDescent="0.25">
      <c r="A480" s="5">
        <v>45762</v>
      </c>
      <c r="B480" s="30" t="s">
        <v>280</v>
      </c>
      <c r="C480" s="30">
        <v>2025</v>
      </c>
      <c r="D480" s="3" t="s">
        <v>283</v>
      </c>
      <c r="F480" s="4">
        <v>650</v>
      </c>
      <c r="G480" s="50">
        <f t="shared" si="10"/>
        <v>-884.72999999999047</v>
      </c>
    </row>
    <row r="481" spans="1:44" x14ac:dyDescent="0.25">
      <c r="A481" s="5">
        <v>45762</v>
      </c>
      <c r="B481" s="30" t="s">
        <v>280</v>
      </c>
      <c r="C481" s="30">
        <v>2025</v>
      </c>
      <c r="D481" s="3" t="s">
        <v>284</v>
      </c>
      <c r="F481" s="4">
        <v>325</v>
      </c>
      <c r="G481" s="50">
        <f t="shared" si="10"/>
        <v>-1209.7299999999905</v>
      </c>
    </row>
    <row r="482" spans="1:44" x14ac:dyDescent="0.25">
      <c r="A482" s="5">
        <v>45762</v>
      </c>
      <c r="B482" s="30" t="s">
        <v>280</v>
      </c>
      <c r="C482" s="30">
        <v>2025</v>
      </c>
      <c r="D482" s="3" t="s">
        <v>19</v>
      </c>
      <c r="F482" s="4">
        <v>240</v>
      </c>
      <c r="G482" s="50">
        <f t="shared" si="10"/>
        <v>-1449.7299999999905</v>
      </c>
    </row>
    <row r="483" spans="1:44" x14ac:dyDescent="0.25">
      <c r="A483" s="5">
        <v>45762</v>
      </c>
      <c r="B483" s="30" t="s">
        <v>280</v>
      </c>
      <c r="C483" s="30">
        <v>2025</v>
      </c>
      <c r="D483" s="8" t="s">
        <v>285</v>
      </c>
      <c r="F483" s="4">
        <v>1990</v>
      </c>
      <c r="G483" s="50">
        <f t="shared" si="10"/>
        <v>-3439.7299999999905</v>
      </c>
    </row>
    <row r="484" spans="1:44" x14ac:dyDescent="0.25">
      <c r="A484" s="5">
        <v>45762</v>
      </c>
      <c r="B484" s="30" t="s">
        <v>280</v>
      </c>
      <c r="C484" s="30">
        <v>2025</v>
      </c>
      <c r="D484" s="3" t="s">
        <v>19</v>
      </c>
      <c r="F484" s="4">
        <v>200</v>
      </c>
      <c r="G484" s="50">
        <f t="shared" si="10"/>
        <v>-3639.7299999999905</v>
      </c>
    </row>
    <row r="485" spans="1:44" x14ac:dyDescent="0.25">
      <c r="A485" s="5">
        <v>45762</v>
      </c>
      <c r="B485" s="30" t="s">
        <v>280</v>
      </c>
      <c r="C485" s="30">
        <v>2025</v>
      </c>
      <c r="D485" s="3" t="s">
        <v>270</v>
      </c>
      <c r="F485" s="4">
        <v>575</v>
      </c>
      <c r="G485" s="50">
        <f t="shared" si="10"/>
        <v>-4214.7299999999905</v>
      </c>
    </row>
    <row r="486" spans="1:44" x14ac:dyDescent="0.25">
      <c r="A486" s="5">
        <v>45762</v>
      </c>
      <c r="B486" s="30" t="s">
        <v>280</v>
      </c>
      <c r="C486" s="30">
        <v>2025</v>
      </c>
      <c r="D486" s="3" t="s">
        <v>28</v>
      </c>
      <c r="F486" s="4">
        <v>240</v>
      </c>
      <c r="G486" s="50">
        <f t="shared" si="10"/>
        <v>-4454.7299999999905</v>
      </c>
    </row>
    <row r="487" spans="1:44" s="16" customFormat="1" x14ac:dyDescent="0.25">
      <c r="A487" s="5">
        <v>45762</v>
      </c>
      <c r="B487" s="30" t="s">
        <v>280</v>
      </c>
      <c r="C487" s="30">
        <v>2025</v>
      </c>
      <c r="D487" s="8" t="s">
        <v>286</v>
      </c>
      <c r="E487" s="9"/>
      <c r="F487" s="9">
        <v>1170</v>
      </c>
      <c r="G487" s="50">
        <f t="shared" si="10"/>
        <v>-5624.7299999999905</v>
      </c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</row>
    <row r="488" spans="1:44" x14ac:dyDescent="0.25">
      <c r="A488" s="5">
        <v>45762</v>
      </c>
      <c r="B488" s="30" t="s">
        <v>280</v>
      </c>
      <c r="C488" s="30">
        <v>2025</v>
      </c>
      <c r="D488" s="3" t="s">
        <v>287</v>
      </c>
      <c r="F488" s="4">
        <v>2300</v>
      </c>
      <c r="G488" s="50">
        <f t="shared" si="10"/>
        <v>-7924.7299999999905</v>
      </c>
    </row>
    <row r="489" spans="1:44" x14ac:dyDescent="0.25">
      <c r="A489" s="5">
        <v>45765</v>
      </c>
      <c r="B489" s="30" t="s">
        <v>280</v>
      </c>
      <c r="C489" s="30">
        <v>2025</v>
      </c>
      <c r="D489" s="3" t="s">
        <v>288</v>
      </c>
      <c r="F489" s="4">
        <v>2300</v>
      </c>
      <c r="G489" s="50">
        <f t="shared" si="10"/>
        <v>-10224.72999999999</v>
      </c>
    </row>
    <row r="490" spans="1:44" x14ac:dyDescent="0.25">
      <c r="A490" s="5">
        <v>45765</v>
      </c>
      <c r="B490" s="30" t="s">
        <v>280</v>
      </c>
      <c r="C490" s="30">
        <v>2025</v>
      </c>
      <c r="D490" s="3" t="s">
        <v>289</v>
      </c>
      <c r="F490" s="4">
        <v>1420</v>
      </c>
      <c r="G490" s="50">
        <f t="shared" si="10"/>
        <v>-11644.72999999999</v>
      </c>
    </row>
    <row r="491" spans="1:44" x14ac:dyDescent="0.25">
      <c r="A491" s="5">
        <v>45765</v>
      </c>
      <c r="B491" s="30" t="s">
        <v>280</v>
      </c>
      <c r="C491" s="30">
        <v>2025</v>
      </c>
      <c r="D491" s="3" t="s">
        <v>290</v>
      </c>
      <c r="F491" s="4">
        <v>800</v>
      </c>
      <c r="G491" s="50">
        <f t="shared" si="10"/>
        <v>-12444.72999999999</v>
      </c>
    </row>
    <row r="492" spans="1:44" x14ac:dyDescent="0.25">
      <c r="A492" s="5">
        <v>45765</v>
      </c>
      <c r="B492" s="30" t="s">
        <v>280</v>
      </c>
      <c r="C492" s="30">
        <v>2025</v>
      </c>
      <c r="D492" s="3" t="s">
        <v>72</v>
      </c>
      <c r="E492" s="49"/>
      <c r="F492" s="49">
        <v>720</v>
      </c>
      <c r="G492" s="51">
        <f t="shared" si="10"/>
        <v>-13164.72999999999</v>
      </c>
    </row>
    <row r="493" spans="1:44" x14ac:dyDescent="0.25">
      <c r="A493" s="5">
        <v>45765</v>
      </c>
      <c r="B493" s="30" t="s">
        <v>280</v>
      </c>
      <c r="C493" s="30">
        <v>2025</v>
      </c>
      <c r="D493" s="3" t="s">
        <v>291</v>
      </c>
      <c r="F493" s="4">
        <v>200</v>
      </c>
      <c r="G493" s="47">
        <f t="shared" si="10"/>
        <v>-13364.72999999999</v>
      </c>
    </row>
    <row r="494" spans="1:44" x14ac:dyDescent="0.25">
      <c r="A494" s="5">
        <v>45765</v>
      </c>
      <c r="B494" s="30" t="s">
        <v>280</v>
      </c>
      <c r="C494" s="30">
        <v>2025</v>
      </c>
      <c r="D494" s="20" t="s">
        <v>190</v>
      </c>
      <c r="F494" s="4">
        <v>2100</v>
      </c>
      <c r="G494" s="49">
        <f t="shared" si="10"/>
        <v>-15464.72999999999</v>
      </c>
    </row>
    <row r="495" spans="1:44" x14ac:dyDescent="0.25">
      <c r="A495" s="5">
        <v>45765</v>
      </c>
      <c r="B495" s="30" t="s">
        <v>280</v>
      </c>
      <c r="C495" s="30">
        <v>2025</v>
      </c>
      <c r="D495" s="41" t="s">
        <v>67</v>
      </c>
      <c r="E495" s="47">
        <v>20000</v>
      </c>
      <c r="G495" s="49">
        <f t="shared" si="10"/>
        <v>4535.2700000000095</v>
      </c>
    </row>
    <row r="496" spans="1:44" x14ac:dyDescent="0.25">
      <c r="A496" s="5">
        <v>45772</v>
      </c>
      <c r="B496" s="30" t="s">
        <v>280</v>
      </c>
      <c r="C496" s="30">
        <v>2025</v>
      </c>
      <c r="D496" s="3" t="s">
        <v>292</v>
      </c>
      <c r="F496" s="4">
        <v>1586</v>
      </c>
      <c r="G496" s="49">
        <f t="shared" si="10"/>
        <v>2949.2700000000095</v>
      </c>
    </row>
    <row r="497" spans="1:44" x14ac:dyDescent="0.25">
      <c r="A497" s="5">
        <v>45772</v>
      </c>
      <c r="B497" s="30" t="s">
        <v>280</v>
      </c>
      <c r="C497" s="30">
        <v>2025</v>
      </c>
      <c r="D497" s="8" t="s">
        <v>293</v>
      </c>
      <c r="F497" s="4">
        <v>3850</v>
      </c>
      <c r="G497" s="49">
        <f t="shared" si="10"/>
        <v>-900.72999999999047</v>
      </c>
    </row>
    <row r="498" spans="1:44" x14ac:dyDescent="0.25">
      <c r="A498" s="5">
        <v>45772</v>
      </c>
      <c r="B498" s="30" t="s">
        <v>280</v>
      </c>
      <c r="C498" s="30">
        <v>2025</v>
      </c>
      <c r="D498" s="20" t="s">
        <v>190</v>
      </c>
      <c r="F498" s="4">
        <v>2100</v>
      </c>
      <c r="G498" s="49">
        <f t="shared" si="10"/>
        <v>-3000.7299999999905</v>
      </c>
    </row>
    <row r="499" spans="1:44" x14ac:dyDescent="0.25">
      <c r="A499" s="5">
        <v>45772</v>
      </c>
      <c r="B499" s="30" t="s">
        <v>280</v>
      </c>
      <c r="C499" s="30">
        <v>2025</v>
      </c>
      <c r="D499" s="3" t="s">
        <v>260</v>
      </c>
      <c r="F499" s="4">
        <v>163</v>
      </c>
      <c r="G499" s="49">
        <f t="shared" si="10"/>
        <v>-3163.7299999999905</v>
      </c>
    </row>
    <row r="500" spans="1:44" x14ac:dyDescent="0.25">
      <c r="A500" s="5">
        <v>45772</v>
      </c>
      <c r="B500" s="30" t="s">
        <v>280</v>
      </c>
      <c r="C500" s="30">
        <v>2025</v>
      </c>
      <c r="D500" s="3" t="s">
        <v>294</v>
      </c>
      <c r="F500" s="4">
        <v>320</v>
      </c>
      <c r="G500" s="49">
        <f t="shared" si="10"/>
        <v>-3483.7299999999905</v>
      </c>
    </row>
    <row r="501" spans="1:44" x14ac:dyDescent="0.25">
      <c r="A501" s="5">
        <v>45772</v>
      </c>
      <c r="B501" s="30" t="s">
        <v>280</v>
      </c>
      <c r="C501" s="30">
        <v>2025</v>
      </c>
      <c r="D501" s="3" t="s">
        <v>147</v>
      </c>
      <c r="F501" s="4">
        <v>250</v>
      </c>
      <c r="G501" s="49">
        <f t="shared" si="10"/>
        <v>-3733.7299999999905</v>
      </c>
    </row>
    <row r="502" spans="1:44" x14ac:dyDescent="0.25">
      <c r="A502" s="5">
        <v>45772</v>
      </c>
      <c r="B502" s="30" t="s">
        <v>280</v>
      </c>
      <c r="C502" s="30">
        <v>2025</v>
      </c>
      <c r="D502" s="3" t="s">
        <v>295</v>
      </c>
      <c r="F502" s="4">
        <v>580</v>
      </c>
      <c r="G502" s="49">
        <f t="shared" si="10"/>
        <v>-4313.7299999999905</v>
      </c>
    </row>
    <row r="503" spans="1:44" x14ac:dyDescent="0.25">
      <c r="A503" s="5">
        <v>45772</v>
      </c>
      <c r="B503" s="30" t="s">
        <v>280</v>
      </c>
      <c r="C503" s="30">
        <v>2025</v>
      </c>
      <c r="D503" s="3" t="s">
        <v>193</v>
      </c>
      <c r="F503" s="4">
        <v>1730</v>
      </c>
      <c r="G503" s="49">
        <f t="shared" ref="G503:G575" si="11">G502+E503-F503</f>
        <v>-6043.7299999999905</v>
      </c>
    </row>
    <row r="504" spans="1:44" x14ac:dyDescent="0.25">
      <c r="A504" s="5">
        <v>45772</v>
      </c>
      <c r="B504" s="30" t="s">
        <v>280</v>
      </c>
      <c r="C504" s="30">
        <v>2025</v>
      </c>
      <c r="D504" s="41" t="s">
        <v>67</v>
      </c>
      <c r="E504" s="47">
        <v>20000</v>
      </c>
      <c r="G504" s="49">
        <f t="shared" si="11"/>
        <v>13956.27000000001</v>
      </c>
    </row>
    <row r="505" spans="1:44" x14ac:dyDescent="0.25">
      <c r="A505" s="5">
        <v>45783</v>
      </c>
      <c r="B505" s="30" t="s">
        <v>296</v>
      </c>
      <c r="C505" s="30">
        <v>2025</v>
      </c>
      <c r="D505" s="3" t="s">
        <v>297</v>
      </c>
      <c r="F505" s="4">
        <v>850</v>
      </c>
      <c r="G505" s="49">
        <f t="shared" si="11"/>
        <v>13106.27000000001</v>
      </c>
    </row>
    <row r="506" spans="1:44" x14ac:dyDescent="0.25">
      <c r="A506" s="5">
        <v>45783</v>
      </c>
      <c r="B506" s="30" t="s">
        <v>296</v>
      </c>
      <c r="C506" s="30">
        <v>2025</v>
      </c>
      <c r="D506" s="3" t="s">
        <v>298</v>
      </c>
      <c r="E506" s="49"/>
      <c r="F506" s="49">
        <v>1500</v>
      </c>
      <c r="G506" s="49">
        <f t="shared" si="11"/>
        <v>11606.27000000001</v>
      </c>
    </row>
    <row r="507" spans="1:44" s="16" customFormat="1" x14ac:dyDescent="0.25">
      <c r="A507" s="5">
        <v>45783</v>
      </c>
      <c r="B507" s="30" t="s">
        <v>296</v>
      </c>
      <c r="C507" s="30">
        <v>2025</v>
      </c>
      <c r="D507" s="8" t="s">
        <v>299</v>
      </c>
      <c r="E507" s="9"/>
      <c r="F507" s="9">
        <v>1800</v>
      </c>
      <c r="G507" s="47">
        <f t="shared" si="11"/>
        <v>9806.2700000000095</v>
      </c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</row>
    <row r="508" spans="1:44" s="16" customFormat="1" x14ac:dyDescent="0.25">
      <c r="A508" s="5">
        <v>45783</v>
      </c>
      <c r="B508" s="30" t="s">
        <v>296</v>
      </c>
      <c r="C508" s="30">
        <v>2025</v>
      </c>
      <c r="D508" s="20" t="s">
        <v>190</v>
      </c>
      <c r="E508" s="9"/>
      <c r="F508" s="9">
        <v>2100</v>
      </c>
      <c r="G508" s="47">
        <f t="shared" si="11"/>
        <v>7706.2700000000095</v>
      </c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</row>
    <row r="509" spans="1:44" x14ac:dyDescent="0.25">
      <c r="A509" s="5">
        <v>45783</v>
      </c>
      <c r="B509" s="30" t="s">
        <v>296</v>
      </c>
      <c r="C509" s="30">
        <v>2025</v>
      </c>
      <c r="D509" s="8" t="s">
        <v>49</v>
      </c>
      <c r="F509" s="4">
        <v>270</v>
      </c>
      <c r="G509" s="47">
        <f t="shared" si="11"/>
        <v>7436.2700000000095</v>
      </c>
    </row>
    <row r="510" spans="1:44" x14ac:dyDescent="0.25">
      <c r="A510" s="5">
        <v>45783</v>
      </c>
      <c r="B510" s="30" t="s">
        <v>296</v>
      </c>
      <c r="C510" s="30">
        <v>2025</v>
      </c>
      <c r="D510" s="3" t="s">
        <v>300</v>
      </c>
      <c r="F510" s="4">
        <v>1035</v>
      </c>
      <c r="G510" s="47">
        <f t="shared" si="11"/>
        <v>6401.2700000000095</v>
      </c>
    </row>
    <row r="511" spans="1:44" x14ac:dyDescent="0.25">
      <c r="A511" s="5">
        <v>45783</v>
      </c>
      <c r="B511" s="30" t="s">
        <v>296</v>
      </c>
      <c r="C511" s="30">
        <v>2025</v>
      </c>
      <c r="D511" s="3" t="s">
        <v>301</v>
      </c>
      <c r="F511" s="4">
        <v>313.27999999999997</v>
      </c>
      <c r="G511" s="47">
        <f t="shared" si="11"/>
        <v>6087.9900000000098</v>
      </c>
    </row>
    <row r="512" spans="1:44" x14ac:dyDescent="0.25">
      <c r="A512" s="5">
        <v>45783</v>
      </c>
      <c r="B512" s="30" t="s">
        <v>296</v>
      </c>
      <c r="C512" s="30">
        <v>2025</v>
      </c>
      <c r="D512" s="3" t="s">
        <v>301</v>
      </c>
      <c r="F512" s="4">
        <v>200</v>
      </c>
      <c r="G512" s="47">
        <f t="shared" si="11"/>
        <v>5887.9900000000098</v>
      </c>
    </row>
    <row r="513" spans="1:7" x14ac:dyDescent="0.25">
      <c r="A513" s="5">
        <v>45783</v>
      </c>
      <c r="B513" s="30" t="s">
        <v>296</v>
      </c>
      <c r="C513" s="30">
        <v>2025</v>
      </c>
      <c r="D513" s="3" t="s">
        <v>65</v>
      </c>
      <c r="F513" s="4">
        <v>927.5</v>
      </c>
      <c r="G513" s="47">
        <f t="shared" si="11"/>
        <v>4960.4900000000098</v>
      </c>
    </row>
    <row r="514" spans="1:7" x14ac:dyDescent="0.25">
      <c r="A514" s="5">
        <v>45783</v>
      </c>
      <c r="B514" s="30" t="s">
        <v>296</v>
      </c>
      <c r="C514" s="30">
        <v>2025</v>
      </c>
      <c r="D514" s="3" t="s">
        <v>196</v>
      </c>
      <c r="F514" s="4">
        <v>369</v>
      </c>
      <c r="G514" s="47">
        <f t="shared" si="11"/>
        <v>4591.4900000000098</v>
      </c>
    </row>
    <row r="515" spans="1:7" x14ac:dyDescent="0.25">
      <c r="A515" s="5">
        <v>45783</v>
      </c>
      <c r="B515" s="30" t="s">
        <v>296</v>
      </c>
      <c r="C515" s="30">
        <v>2025</v>
      </c>
      <c r="D515" s="3" t="s">
        <v>278</v>
      </c>
      <c r="E515" s="49"/>
      <c r="F515" s="49">
        <v>223.04</v>
      </c>
      <c r="G515" s="49">
        <f t="shared" si="11"/>
        <v>4368.4500000000098</v>
      </c>
    </row>
    <row r="516" spans="1:7" x14ac:dyDescent="0.25">
      <c r="A516" s="5">
        <v>45783</v>
      </c>
      <c r="B516" s="30" t="s">
        <v>296</v>
      </c>
      <c r="C516" s="30">
        <v>2025</v>
      </c>
      <c r="D516" s="3" t="s">
        <v>124</v>
      </c>
      <c r="F516" s="4">
        <v>45</v>
      </c>
      <c r="G516" s="49">
        <f t="shared" si="11"/>
        <v>4323.4500000000098</v>
      </c>
    </row>
    <row r="517" spans="1:7" x14ac:dyDescent="0.25">
      <c r="A517" s="5">
        <v>45783</v>
      </c>
      <c r="B517" s="30" t="s">
        <v>296</v>
      </c>
      <c r="C517" s="30">
        <v>2025</v>
      </c>
      <c r="D517" s="3" t="s">
        <v>146</v>
      </c>
      <c r="F517" s="4">
        <v>2500</v>
      </c>
      <c r="G517" s="49">
        <f t="shared" si="11"/>
        <v>1823.4500000000098</v>
      </c>
    </row>
    <row r="518" spans="1:7" x14ac:dyDescent="0.25">
      <c r="A518" s="5">
        <v>45790</v>
      </c>
      <c r="B518" s="30" t="s">
        <v>296</v>
      </c>
      <c r="C518" s="30">
        <v>2025</v>
      </c>
      <c r="D518" s="20" t="s">
        <v>190</v>
      </c>
      <c r="F518" s="4">
        <v>2100</v>
      </c>
      <c r="G518" s="49">
        <f t="shared" si="11"/>
        <v>-276.54999999999018</v>
      </c>
    </row>
    <row r="519" spans="1:7" x14ac:dyDescent="0.25">
      <c r="A519" s="5">
        <v>45790</v>
      </c>
      <c r="B519" s="30" t="s">
        <v>296</v>
      </c>
      <c r="C519" s="30">
        <v>2025</v>
      </c>
      <c r="D519" s="3" t="s">
        <v>302</v>
      </c>
      <c r="F519" s="4">
        <v>695</v>
      </c>
      <c r="G519" s="49">
        <f t="shared" si="11"/>
        <v>-971.54999999999018</v>
      </c>
    </row>
    <row r="520" spans="1:7" x14ac:dyDescent="0.25">
      <c r="A520" s="5">
        <v>45790</v>
      </c>
      <c r="B520" s="30" t="s">
        <v>296</v>
      </c>
      <c r="C520" s="30">
        <v>2025</v>
      </c>
      <c r="D520" s="3" t="s">
        <v>65</v>
      </c>
      <c r="F520" s="4">
        <v>750</v>
      </c>
      <c r="G520" s="49">
        <f t="shared" si="11"/>
        <v>-1721.5499999999902</v>
      </c>
    </row>
    <row r="521" spans="1:7" x14ac:dyDescent="0.25">
      <c r="A521" s="5">
        <v>45790</v>
      </c>
      <c r="B521" s="30" t="s">
        <v>296</v>
      </c>
      <c r="C521" s="30">
        <v>2025</v>
      </c>
      <c r="D521" s="8" t="s">
        <v>303</v>
      </c>
      <c r="F521" s="4">
        <v>640</v>
      </c>
      <c r="G521" s="49">
        <f t="shared" si="11"/>
        <v>-2361.5499999999902</v>
      </c>
    </row>
    <row r="522" spans="1:7" x14ac:dyDescent="0.25">
      <c r="A522" s="5">
        <v>45790</v>
      </c>
      <c r="B522" s="30" t="s">
        <v>296</v>
      </c>
      <c r="C522" s="30">
        <v>2025</v>
      </c>
      <c r="D522" s="3" t="s">
        <v>304</v>
      </c>
      <c r="F522" s="4">
        <v>250</v>
      </c>
      <c r="G522" s="49">
        <f t="shared" si="11"/>
        <v>-2611.5499999999902</v>
      </c>
    </row>
    <row r="523" spans="1:7" x14ac:dyDescent="0.25">
      <c r="A523" s="5">
        <v>45790</v>
      </c>
      <c r="B523" s="30" t="s">
        <v>296</v>
      </c>
      <c r="C523" s="30">
        <v>2025</v>
      </c>
      <c r="D523" s="3" t="s">
        <v>61</v>
      </c>
      <c r="F523" s="4">
        <v>290</v>
      </c>
      <c r="G523" s="49">
        <f t="shared" si="11"/>
        <v>-2901.5499999999902</v>
      </c>
    </row>
    <row r="524" spans="1:7" x14ac:dyDescent="0.25">
      <c r="A524" s="5">
        <v>45790</v>
      </c>
      <c r="B524" s="30" t="s">
        <v>296</v>
      </c>
      <c r="C524" s="30">
        <v>2025</v>
      </c>
      <c r="D524" s="3" t="s">
        <v>28</v>
      </c>
      <c r="F524" s="4">
        <v>600</v>
      </c>
      <c r="G524" s="49">
        <f t="shared" si="11"/>
        <v>-3501.5499999999902</v>
      </c>
    </row>
    <row r="525" spans="1:7" x14ac:dyDescent="0.25">
      <c r="A525" s="5">
        <v>45800</v>
      </c>
      <c r="B525" s="30" t="s">
        <v>296</v>
      </c>
      <c r="C525" s="30">
        <v>2025</v>
      </c>
      <c r="D525" s="41" t="s">
        <v>67</v>
      </c>
      <c r="E525" s="47">
        <v>10000</v>
      </c>
      <c r="G525" s="49">
        <f>G524+E525-F525</f>
        <v>6498.4500000000098</v>
      </c>
    </row>
    <row r="526" spans="1:7" x14ac:dyDescent="0.25">
      <c r="A526" s="5">
        <v>45800</v>
      </c>
      <c r="B526" s="30" t="s">
        <v>296</v>
      </c>
      <c r="C526" s="30">
        <v>2025</v>
      </c>
      <c r="D526" s="20" t="s">
        <v>190</v>
      </c>
      <c r="F526" s="4">
        <v>2100</v>
      </c>
      <c r="G526" s="49">
        <f>G525+E526-F526</f>
        <v>4398.4500000000098</v>
      </c>
    </row>
    <row r="527" spans="1:7" x14ac:dyDescent="0.25">
      <c r="A527" s="5">
        <v>45800</v>
      </c>
      <c r="B527" s="30" t="s">
        <v>296</v>
      </c>
      <c r="C527" s="30">
        <v>2025</v>
      </c>
      <c r="D527" s="3" t="s">
        <v>19</v>
      </c>
      <c r="F527" s="4">
        <v>215</v>
      </c>
      <c r="G527" s="49">
        <f t="shared" si="11"/>
        <v>4183.4500000000098</v>
      </c>
    </row>
    <row r="528" spans="1:7" x14ac:dyDescent="0.25">
      <c r="A528" s="5">
        <v>45800</v>
      </c>
      <c r="B528" s="30" t="s">
        <v>296</v>
      </c>
      <c r="C528" s="30">
        <v>2025</v>
      </c>
      <c r="D528" s="3" t="s">
        <v>301</v>
      </c>
      <c r="F528" s="4">
        <v>553.82000000000005</v>
      </c>
      <c r="G528" s="49">
        <f t="shared" si="11"/>
        <v>3629.6300000000097</v>
      </c>
    </row>
    <row r="529" spans="1:7" x14ac:dyDescent="0.25">
      <c r="A529" s="5">
        <v>45800</v>
      </c>
      <c r="B529" s="30" t="s">
        <v>296</v>
      </c>
      <c r="C529" s="30">
        <v>2025</v>
      </c>
      <c r="D529" s="3" t="s">
        <v>28</v>
      </c>
      <c r="F529" s="4">
        <v>782</v>
      </c>
      <c r="G529" s="49">
        <f t="shared" si="11"/>
        <v>2847.6300000000097</v>
      </c>
    </row>
    <row r="530" spans="1:7" x14ac:dyDescent="0.25">
      <c r="A530" s="5">
        <v>45800</v>
      </c>
      <c r="B530" s="30" t="s">
        <v>296</v>
      </c>
      <c r="C530" s="30">
        <v>2025</v>
      </c>
      <c r="D530" s="3" t="s">
        <v>305</v>
      </c>
      <c r="F530" s="4">
        <v>2700</v>
      </c>
      <c r="G530" s="49">
        <f t="shared" si="11"/>
        <v>147.63000000000966</v>
      </c>
    </row>
    <row r="531" spans="1:7" x14ac:dyDescent="0.25">
      <c r="A531" s="5">
        <v>45800</v>
      </c>
      <c r="B531" s="30" t="s">
        <v>296</v>
      </c>
      <c r="C531" s="30">
        <v>2025</v>
      </c>
      <c r="D531" s="3" t="s">
        <v>306</v>
      </c>
      <c r="F531" s="4">
        <v>1450</v>
      </c>
      <c r="G531" s="49">
        <f t="shared" si="11"/>
        <v>-1302.3699999999903</v>
      </c>
    </row>
    <row r="532" spans="1:7" x14ac:dyDescent="0.25">
      <c r="A532" s="5">
        <v>45800</v>
      </c>
      <c r="B532" s="30" t="s">
        <v>296</v>
      </c>
      <c r="C532" s="30">
        <v>2025</v>
      </c>
      <c r="D532" s="3" t="s">
        <v>301</v>
      </c>
      <c r="F532" s="4">
        <v>140.69</v>
      </c>
      <c r="G532" s="49">
        <f t="shared" si="11"/>
        <v>-1443.0599999999904</v>
      </c>
    </row>
    <row r="533" spans="1:7" x14ac:dyDescent="0.25">
      <c r="A533" s="5">
        <v>45800</v>
      </c>
      <c r="B533" s="30" t="s">
        <v>296</v>
      </c>
      <c r="C533" s="30">
        <v>2025</v>
      </c>
      <c r="D533" s="3" t="s">
        <v>65</v>
      </c>
      <c r="F533" s="4">
        <v>750</v>
      </c>
      <c r="G533" s="49">
        <f t="shared" si="11"/>
        <v>-2193.0599999999904</v>
      </c>
    </row>
    <row r="534" spans="1:7" x14ac:dyDescent="0.25">
      <c r="A534" s="5">
        <v>45800</v>
      </c>
      <c r="B534" s="30" t="s">
        <v>296</v>
      </c>
      <c r="C534" s="30">
        <v>2025</v>
      </c>
      <c r="D534" s="3" t="s">
        <v>61</v>
      </c>
      <c r="F534" s="4">
        <v>270</v>
      </c>
      <c r="G534" s="49">
        <f t="shared" si="11"/>
        <v>-2463.0599999999904</v>
      </c>
    </row>
    <row r="535" spans="1:7" x14ac:dyDescent="0.25">
      <c r="A535" s="5">
        <v>45801</v>
      </c>
      <c r="B535" s="30" t="s">
        <v>296</v>
      </c>
      <c r="C535" s="30">
        <v>2025</v>
      </c>
      <c r="D535" s="41" t="s">
        <v>67</v>
      </c>
      <c r="E535" s="47">
        <v>10000</v>
      </c>
      <c r="G535" s="49">
        <f t="shared" si="11"/>
        <v>7536.9400000000096</v>
      </c>
    </row>
    <row r="536" spans="1:7" x14ac:dyDescent="0.25">
      <c r="A536" s="5">
        <v>45807</v>
      </c>
      <c r="B536" s="30" t="s">
        <v>296</v>
      </c>
      <c r="C536" s="30">
        <v>2025</v>
      </c>
      <c r="D536" s="3" t="s">
        <v>307</v>
      </c>
      <c r="F536" s="4">
        <v>300</v>
      </c>
      <c r="G536" s="49">
        <f t="shared" si="11"/>
        <v>7236.9400000000096</v>
      </c>
    </row>
    <row r="537" spans="1:7" x14ac:dyDescent="0.25">
      <c r="A537" s="5">
        <v>45807</v>
      </c>
      <c r="B537" s="30" t="s">
        <v>296</v>
      </c>
      <c r="C537" s="30">
        <v>2025</v>
      </c>
      <c r="D537" s="3" t="s">
        <v>308</v>
      </c>
      <c r="F537" s="4">
        <v>350.49</v>
      </c>
      <c r="G537" s="49">
        <f t="shared" si="11"/>
        <v>6886.4500000000098</v>
      </c>
    </row>
    <row r="538" spans="1:7" x14ac:dyDescent="0.25">
      <c r="A538" s="5">
        <v>45807</v>
      </c>
      <c r="B538" s="30" t="s">
        <v>296</v>
      </c>
      <c r="C538" s="30">
        <v>2025</v>
      </c>
      <c r="D538" s="3" t="s">
        <v>309</v>
      </c>
      <c r="F538" s="4">
        <v>500</v>
      </c>
      <c r="G538" s="49">
        <f t="shared" si="11"/>
        <v>6386.4500000000098</v>
      </c>
    </row>
    <row r="539" spans="1:7" x14ac:dyDescent="0.25">
      <c r="A539" s="5">
        <v>45807</v>
      </c>
      <c r="B539" s="30" t="s">
        <v>296</v>
      </c>
      <c r="C539" s="30">
        <v>2025</v>
      </c>
      <c r="D539" s="3" t="s">
        <v>310</v>
      </c>
      <c r="F539" s="4">
        <v>1056</v>
      </c>
      <c r="G539" s="49">
        <f t="shared" si="11"/>
        <v>5330.4500000000098</v>
      </c>
    </row>
    <row r="540" spans="1:7" x14ac:dyDescent="0.25">
      <c r="A540" s="5">
        <v>45807</v>
      </c>
      <c r="B540" s="30" t="s">
        <v>296</v>
      </c>
      <c r="C540" s="30">
        <v>2025</v>
      </c>
      <c r="D540" s="3" t="s">
        <v>65</v>
      </c>
      <c r="F540" s="4">
        <v>950</v>
      </c>
      <c r="G540" s="49">
        <f t="shared" si="11"/>
        <v>4380.4500000000098</v>
      </c>
    </row>
    <row r="541" spans="1:7" x14ac:dyDescent="0.25">
      <c r="A541" s="5">
        <v>45807</v>
      </c>
      <c r="B541" s="30" t="s">
        <v>296</v>
      </c>
      <c r="C541" s="30">
        <v>2025</v>
      </c>
      <c r="D541" s="3" t="s">
        <v>311</v>
      </c>
      <c r="F541" s="4">
        <v>4000</v>
      </c>
      <c r="G541" s="49">
        <f t="shared" si="11"/>
        <v>380.45000000000982</v>
      </c>
    </row>
    <row r="542" spans="1:7" x14ac:dyDescent="0.25">
      <c r="A542" s="5">
        <v>45807</v>
      </c>
      <c r="B542" s="30" t="s">
        <v>296</v>
      </c>
      <c r="C542" s="30">
        <v>2025</v>
      </c>
      <c r="D542" s="20" t="s">
        <v>190</v>
      </c>
      <c r="F542" s="4">
        <v>2100</v>
      </c>
      <c r="G542" s="49">
        <f t="shared" si="11"/>
        <v>-1719.5499999999902</v>
      </c>
    </row>
    <row r="543" spans="1:7" x14ac:dyDescent="0.25">
      <c r="A543" s="5">
        <v>45807</v>
      </c>
      <c r="B543" s="30" t="s">
        <v>296</v>
      </c>
      <c r="C543" s="30">
        <v>2025</v>
      </c>
      <c r="D543" s="3" t="s">
        <v>312</v>
      </c>
      <c r="E543" s="49"/>
      <c r="F543" s="49">
        <v>1400</v>
      </c>
      <c r="G543" s="49">
        <f t="shared" si="11"/>
        <v>-3119.5499999999902</v>
      </c>
    </row>
    <row r="544" spans="1:7" x14ac:dyDescent="0.25">
      <c r="A544" s="5">
        <v>45807</v>
      </c>
      <c r="B544" s="30" t="s">
        <v>296</v>
      </c>
      <c r="C544" s="30">
        <v>2025</v>
      </c>
      <c r="D544" s="3" t="s">
        <v>313</v>
      </c>
      <c r="F544" s="4">
        <v>600</v>
      </c>
      <c r="G544" s="49">
        <f t="shared" si="11"/>
        <v>-3719.5499999999902</v>
      </c>
    </row>
    <row r="545" spans="1:7" x14ac:dyDescent="0.25">
      <c r="A545" s="5">
        <v>45807</v>
      </c>
      <c r="B545" s="30" t="s">
        <v>296</v>
      </c>
      <c r="C545" s="30">
        <v>2025</v>
      </c>
      <c r="D545" s="3" t="s">
        <v>314</v>
      </c>
      <c r="F545" s="4">
        <v>6000</v>
      </c>
      <c r="G545" s="49">
        <f t="shared" si="11"/>
        <v>-9719.5499999999902</v>
      </c>
    </row>
    <row r="546" spans="1:7" x14ac:dyDescent="0.25">
      <c r="A546" s="5">
        <v>45807</v>
      </c>
      <c r="B546" s="30" t="s">
        <v>296</v>
      </c>
      <c r="C546" s="30">
        <v>2025</v>
      </c>
      <c r="D546" s="41" t="s">
        <v>67</v>
      </c>
      <c r="E546" s="47">
        <v>15000</v>
      </c>
      <c r="G546" s="49">
        <f t="shared" si="11"/>
        <v>5280.4500000000098</v>
      </c>
    </row>
    <row r="547" spans="1:7" x14ac:dyDescent="0.25">
      <c r="A547" s="5">
        <v>45821</v>
      </c>
      <c r="B547" s="30" t="s">
        <v>316</v>
      </c>
      <c r="C547" s="30">
        <v>2025</v>
      </c>
      <c r="D547" s="20" t="s">
        <v>318</v>
      </c>
      <c r="E547" s="49"/>
      <c r="F547" s="49">
        <v>4200</v>
      </c>
      <c r="G547" s="49">
        <f t="shared" si="11"/>
        <v>1080.4500000000098</v>
      </c>
    </row>
    <row r="548" spans="1:7" x14ac:dyDescent="0.25">
      <c r="A548" s="5">
        <v>45821</v>
      </c>
      <c r="B548" s="30" t="s">
        <v>316</v>
      </c>
      <c r="C548" s="30">
        <v>2025</v>
      </c>
      <c r="D548" s="3" t="s">
        <v>65</v>
      </c>
      <c r="F548" s="4">
        <v>300</v>
      </c>
      <c r="G548" s="49">
        <f t="shared" si="11"/>
        <v>780.45000000000982</v>
      </c>
    </row>
    <row r="549" spans="1:7" x14ac:dyDescent="0.25">
      <c r="A549" s="5">
        <v>45821</v>
      </c>
      <c r="B549" s="30" t="s">
        <v>316</v>
      </c>
      <c r="C549" s="30">
        <v>2025</v>
      </c>
      <c r="D549" s="8" t="s">
        <v>317</v>
      </c>
      <c r="F549" s="4">
        <v>1000</v>
      </c>
      <c r="G549" s="49">
        <f t="shared" si="11"/>
        <v>-219.54999999999018</v>
      </c>
    </row>
    <row r="550" spans="1:7" x14ac:dyDescent="0.25">
      <c r="A550" s="5">
        <v>45821</v>
      </c>
      <c r="B550" s="30" t="s">
        <v>316</v>
      </c>
      <c r="C550" s="30">
        <v>2025</v>
      </c>
      <c r="D550" s="3" t="s">
        <v>259</v>
      </c>
      <c r="F550" s="4">
        <v>450</v>
      </c>
      <c r="G550" s="49">
        <f t="shared" si="11"/>
        <v>-669.54999999999018</v>
      </c>
    </row>
    <row r="551" spans="1:7" x14ac:dyDescent="0.25">
      <c r="A551" s="5">
        <v>45821</v>
      </c>
      <c r="B551" s="30" t="s">
        <v>316</v>
      </c>
      <c r="C551" s="30">
        <v>2025</v>
      </c>
      <c r="D551" s="8" t="s">
        <v>317</v>
      </c>
      <c r="F551" s="4">
        <v>240</v>
      </c>
      <c r="G551" s="49">
        <f t="shared" si="11"/>
        <v>-909.54999999999018</v>
      </c>
    </row>
    <row r="552" spans="1:7" x14ac:dyDescent="0.25">
      <c r="A552" s="5">
        <v>45821</v>
      </c>
      <c r="B552" s="30" t="s">
        <v>316</v>
      </c>
      <c r="C552" s="30">
        <v>2025</v>
      </c>
      <c r="D552" s="3" t="s">
        <v>65</v>
      </c>
      <c r="F552" s="4">
        <v>781.32</v>
      </c>
      <c r="G552" s="49">
        <f t="shared" si="11"/>
        <v>-1690.8699999999903</v>
      </c>
    </row>
    <row r="553" spans="1:7" x14ac:dyDescent="0.25">
      <c r="A553" s="5">
        <v>45821</v>
      </c>
      <c r="B553" s="30" t="s">
        <v>316</v>
      </c>
      <c r="C553" s="30">
        <v>2025</v>
      </c>
      <c r="D553" s="3" t="s">
        <v>319</v>
      </c>
      <c r="F553" s="4">
        <v>2000</v>
      </c>
      <c r="G553" s="49">
        <f t="shared" si="11"/>
        <v>-3690.8699999999903</v>
      </c>
    </row>
    <row r="554" spans="1:7" x14ac:dyDescent="0.25">
      <c r="A554" s="5">
        <v>45828</v>
      </c>
      <c r="B554" s="30" t="s">
        <v>316</v>
      </c>
      <c r="C554" s="30">
        <v>2025</v>
      </c>
      <c r="D554" s="3" t="s">
        <v>320</v>
      </c>
      <c r="F554" s="4">
        <v>2500</v>
      </c>
      <c r="G554" s="49">
        <f t="shared" si="11"/>
        <v>-6190.8699999999899</v>
      </c>
    </row>
    <row r="555" spans="1:7" x14ac:dyDescent="0.25">
      <c r="A555" s="5">
        <v>45828</v>
      </c>
      <c r="B555" s="30" t="s">
        <v>316</v>
      </c>
      <c r="C555" s="30">
        <v>2025</v>
      </c>
      <c r="D555" s="3" t="s">
        <v>321</v>
      </c>
      <c r="F555" s="4">
        <v>900</v>
      </c>
      <c r="G555" s="49">
        <f t="shared" si="11"/>
        <v>-7090.8699999999899</v>
      </c>
    </row>
    <row r="556" spans="1:7" x14ac:dyDescent="0.25">
      <c r="A556" s="5">
        <v>45828</v>
      </c>
      <c r="B556" s="30" t="s">
        <v>316</v>
      </c>
      <c r="C556" s="30">
        <v>2025</v>
      </c>
      <c r="D556" s="3" t="s">
        <v>322</v>
      </c>
      <c r="F556" s="4">
        <v>60</v>
      </c>
      <c r="G556" s="49">
        <f t="shared" si="11"/>
        <v>-7150.8699999999899</v>
      </c>
    </row>
    <row r="557" spans="1:7" x14ac:dyDescent="0.25">
      <c r="A557" s="5">
        <v>45828</v>
      </c>
      <c r="B557" s="30" t="s">
        <v>316</v>
      </c>
      <c r="C557" s="30">
        <v>2025</v>
      </c>
      <c r="D557" s="3" t="s">
        <v>269</v>
      </c>
      <c r="F557" s="4">
        <v>415</v>
      </c>
      <c r="G557" s="49">
        <f t="shared" si="11"/>
        <v>-7565.8699999999899</v>
      </c>
    </row>
    <row r="558" spans="1:7" x14ac:dyDescent="0.25">
      <c r="A558" s="5">
        <v>45828</v>
      </c>
      <c r="B558" s="30" t="s">
        <v>316</v>
      </c>
      <c r="C558" s="30">
        <v>2025</v>
      </c>
      <c r="D558" s="3" t="s">
        <v>323</v>
      </c>
      <c r="F558" s="4">
        <v>2000</v>
      </c>
      <c r="G558" s="49">
        <f t="shared" si="11"/>
        <v>-9565.8699999999899</v>
      </c>
    </row>
    <row r="559" spans="1:7" x14ac:dyDescent="0.25">
      <c r="A559" s="5">
        <v>45828</v>
      </c>
      <c r="B559" s="30" t="s">
        <v>316</v>
      </c>
      <c r="C559" s="30">
        <v>2025</v>
      </c>
      <c r="D559" s="3" t="s">
        <v>324</v>
      </c>
      <c r="E559" s="49"/>
      <c r="F559" s="49">
        <v>1440</v>
      </c>
      <c r="G559" s="49">
        <f t="shared" si="11"/>
        <v>-11005.86999999999</v>
      </c>
    </row>
    <row r="560" spans="1:7" x14ac:dyDescent="0.25">
      <c r="A560" s="5">
        <v>45828</v>
      </c>
      <c r="B560" s="30" t="s">
        <v>316</v>
      </c>
      <c r="C560" s="30">
        <v>2025</v>
      </c>
      <c r="D560" s="20" t="s">
        <v>325</v>
      </c>
      <c r="F560" s="4">
        <v>2100</v>
      </c>
      <c r="G560" s="49">
        <f t="shared" si="11"/>
        <v>-13105.86999999999</v>
      </c>
    </row>
    <row r="561" spans="1:44" x14ac:dyDescent="0.25">
      <c r="A561" s="5">
        <v>45828</v>
      </c>
      <c r="B561" s="30" t="s">
        <v>316</v>
      </c>
      <c r="C561" s="30">
        <v>2025</v>
      </c>
      <c r="D561" s="41" t="s">
        <v>67</v>
      </c>
      <c r="E561" s="47">
        <v>20000</v>
      </c>
      <c r="G561" s="49">
        <f t="shared" si="11"/>
        <v>6894.1300000000101</v>
      </c>
    </row>
    <row r="562" spans="1:44" x14ac:dyDescent="0.25">
      <c r="A562" s="5">
        <v>45835</v>
      </c>
      <c r="B562" s="30" t="s">
        <v>316</v>
      </c>
      <c r="C562" s="30">
        <v>2025</v>
      </c>
      <c r="D562" s="3" t="s">
        <v>19</v>
      </c>
      <c r="F562" s="4">
        <v>245</v>
      </c>
      <c r="G562" s="49">
        <f t="shared" si="11"/>
        <v>6649.1300000000101</v>
      </c>
    </row>
    <row r="563" spans="1:44" x14ac:dyDescent="0.25">
      <c r="A563" s="5">
        <v>45835</v>
      </c>
      <c r="B563" s="30" t="s">
        <v>316</v>
      </c>
      <c r="C563" s="30">
        <v>2025</v>
      </c>
      <c r="D563" s="3" t="s">
        <v>326</v>
      </c>
      <c r="F563" s="4">
        <v>160</v>
      </c>
      <c r="G563" s="49">
        <f t="shared" si="11"/>
        <v>6489.1300000000101</v>
      </c>
    </row>
    <row r="564" spans="1:44" x14ac:dyDescent="0.25">
      <c r="A564" s="5">
        <v>45835</v>
      </c>
      <c r="B564" s="30" t="s">
        <v>316</v>
      </c>
      <c r="C564" s="30">
        <v>2025</v>
      </c>
      <c r="D564" s="3" t="s">
        <v>327</v>
      </c>
      <c r="E564" s="49"/>
      <c r="F564" s="49">
        <v>50</v>
      </c>
      <c r="G564" s="49">
        <f t="shared" si="11"/>
        <v>6439.1300000000101</v>
      </c>
    </row>
    <row r="565" spans="1:44" s="16" customFormat="1" x14ac:dyDescent="0.25">
      <c r="A565" s="5">
        <v>45835</v>
      </c>
      <c r="B565" s="30" t="s">
        <v>316</v>
      </c>
      <c r="C565" s="30">
        <v>2025</v>
      </c>
      <c r="D565" s="8" t="s">
        <v>72</v>
      </c>
      <c r="E565" s="9"/>
      <c r="F565" s="9">
        <v>135</v>
      </c>
      <c r="G565" s="47">
        <f t="shared" si="11"/>
        <v>6304.1300000000101</v>
      </c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</row>
    <row r="566" spans="1:44" x14ac:dyDescent="0.25">
      <c r="A566" s="5">
        <v>45835</v>
      </c>
      <c r="B566" s="30" t="s">
        <v>316</v>
      </c>
      <c r="C566" s="30">
        <v>2025</v>
      </c>
      <c r="D566" s="3" t="s">
        <v>19</v>
      </c>
      <c r="F566" s="4">
        <v>930</v>
      </c>
      <c r="G566" s="47">
        <f t="shared" si="11"/>
        <v>5374.1300000000101</v>
      </c>
    </row>
    <row r="567" spans="1:44" x14ac:dyDescent="0.25">
      <c r="A567" s="5">
        <v>45835</v>
      </c>
      <c r="B567" s="30" t="s">
        <v>316</v>
      </c>
      <c r="C567" s="30">
        <v>2025</v>
      </c>
      <c r="D567" s="3" t="s">
        <v>328</v>
      </c>
      <c r="F567" s="4">
        <v>903</v>
      </c>
      <c r="G567" s="47">
        <f t="shared" si="11"/>
        <v>4471.1300000000101</v>
      </c>
    </row>
    <row r="568" spans="1:44" x14ac:dyDescent="0.25">
      <c r="A568" s="5">
        <v>45835</v>
      </c>
      <c r="B568" s="30" t="s">
        <v>316</v>
      </c>
      <c r="C568" s="30">
        <v>2025</v>
      </c>
      <c r="D568" s="3" t="s">
        <v>329</v>
      </c>
      <c r="F568" s="4">
        <v>120</v>
      </c>
      <c r="G568" s="47">
        <f t="shared" si="11"/>
        <v>4351.1300000000101</v>
      </c>
    </row>
    <row r="569" spans="1:44" x14ac:dyDescent="0.25">
      <c r="A569" s="5">
        <v>45835</v>
      </c>
      <c r="B569" s="30" t="s">
        <v>316</v>
      </c>
      <c r="C569" s="30">
        <v>2025</v>
      </c>
      <c r="D569" s="3" t="s">
        <v>330</v>
      </c>
      <c r="F569" s="4">
        <v>2403.46</v>
      </c>
      <c r="G569" s="47">
        <f t="shared" si="11"/>
        <v>1947.6700000000101</v>
      </c>
    </row>
    <row r="570" spans="1:44" x14ac:dyDescent="0.25">
      <c r="A570" s="5">
        <v>45835</v>
      </c>
      <c r="B570" s="30" t="s">
        <v>316</v>
      </c>
      <c r="C570" s="30">
        <v>2025</v>
      </c>
      <c r="D570" s="3" t="s">
        <v>19</v>
      </c>
      <c r="F570" s="4">
        <v>1260</v>
      </c>
      <c r="G570" s="47">
        <f t="shared" si="11"/>
        <v>687.67000000001008</v>
      </c>
    </row>
    <row r="571" spans="1:44" x14ac:dyDescent="0.25">
      <c r="A571" s="5">
        <v>45835</v>
      </c>
      <c r="B571" s="30" t="s">
        <v>316</v>
      </c>
      <c r="C571" s="30">
        <v>2025</v>
      </c>
      <c r="D571" s="3" t="s">
        <v>331</v>
      </c>
      <c r="F571" s="4">
        <v>235</v>
      </c>
      <c r="G571" s="47">
        <f t="shared" si="11"/>
        <v>452.67000000001008</v>
      </c>
    </row>
    <row r="572" spans="1:44" x14ac:dyDescent="0.25">
      <c r="A572" s="5">
        <v>45835</v>
      </c>
      <c r="B572" s="30" t="s">
        <v>316</v>
      </c>
      <c r="C572" s="30">
        <v>2025</v>
      </c>
      <c r="D572" s="3" t="s">
        <v>20</v>
      </c>
      <c r="F572" s="4">
        <v>1120</v>
      </c>
      <c r="G572" s="47">
        <f t="shared" si="11"/>
        <v>-667.32999999998992</v>
      </c>
    </row>
    <row r="573" spans="1:44" x14ac:dyDescent="0.25">
      <c r="A573" s="5">
        <v>45835</v>
      </c>
      <c r="B573" s="30" t="s">
        <v>316</v>
      </c>
      <c r="C573" s="30">
        <v>2025</v>
      </c>
      <c r="D573" s="3" t="s">
        <v>19</v>
      </c>
      <c r="F573" s="4">
        <v>250</v>
      </c>
      <c r="G573" s="47">
        <f t="shared" si="11"/>
        <v>-917.32999999998992</v>
      </c>
    </row>
    <row r="574" spans="1:44" s="16" customFormat="1" x14ac:dyDescent="0.25">
      <c r="A574" s="5">
        <v>45835</v>
      </c>
      <c r="B574" s="30" t="s">
        <v>316</v>
      </c>
      <c r="C574" s="30">
        <v>2025</v>
      </c>
      <c r="D574" s="8" t="s">
        <v>332</v>
      </c>
      <c r="E574" s="9"/>
      <c r="F574" s="9">
        <v>49.2</v>
      </c>
      <c r="G574" s="47">
        <f t="shared" si="11"/>
        <v>-966.52999999998997</v>
      </c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</row>
    <row r="575" spans="1:44" x14ac:dyDescent="0.25">
      <c r="A575" s="5">
        <v>45835</v>
      </c>
      <c r="B575" s="30" t="s">
        <v>316</v>
      </c>
      <c r="C575" s="30">
        <v>2025</v>
      </c>
      <c r="D575" s="3" t="s">
        <v>333</v>
      </c>
      <c r="F575" s="4">
        <v>2000</v>
      </c>
      <c r="G575" s="47">
        <f t="shared" si="11"/>
        <v>-2966.5299999999897</v>
      </c>
    </row>
    <row r="576" spans="1:44" x14ac:dyDescent="0.25">
      <c r="A576" s="5">
        <v>45835</v>
      </c>
      <c r="B576" s="30" t="s">
        <v>316</v>
      </c>
      <c r="C576" s="30">
        <v>2025</v>
      </c>
      <c r="D576" s="20" t="s">
        <v>334</v>
      </c>
      <c r="F576" s="4">
        <v>2100</v>
      </c>
      <c r="G576" s="47">
        <f t="shared" ref="G576:G583" si="12">G575+E576-F576</f>
        <v>-5066.5299999999897</v>
      </c>
    </row>
    <row r="577" spans="1:44" x14ac:dyDescent="0.25">
      <c r="A577" s="5">
        <v>45835</v>
      </c>
      <c r="B577" s="30" t="s">
        <v>316</v>
      </c>
      <c r="C577" s="30">
        <v>2025</v>
      </c>
      <c r="D577" s="3" t="s">
        <v>335</v>
      </c>
      <c r="F577" s="4">
        <v>830</v>
      </c>
      <c r="G577" s="47">
        <f t="shared" si="12"/>
        <v>-5896.5299999999897</v>
      </c>
    </row>
    <row r="578" spans="1:44" x14ac:dyDescent="0.25">
      <c r="A578" s="5">
        <v>45835</v>
      </c>
      <c r="B578" s="30" t="s">
        <v>316</v>
      </c>
      <c r="C578" s="30">
        <v>2025</v>
      </c>
      <c r="D578" s="71" t="s">
        <v>67</v>
      </c>
      <c r="E578" s="47">
        <v>10000</v>
      </c>
      <c r="F578" s="49"/>
      <c r="G578" s="47">
        <f t="shared" si="12"/>
        <v>4103.4700000000103</v>
      </c>
    </row>
    <row r="579" spans="1:44" x14ac:dyDescent="0.25">
      <c r="A579" s="5">
        <v>45838</v>
      </c>
      <c r="B579" s="30" t="s">
        <v>316</v>
      </c>
      <c r="C579" s="30">
        <v>2025</v>
      </c>
      <c r="D579" s="71" t="s">
        <v>336</v>
      </c>
      <c r="F579" s="4">
        <v>4103.47</v>
      </c>
      <c r="G579" s="47">
        <f t="shared" si="12"/>
        <v>1.0004441719502211E-11</v>
      </c>
    </row>
    <row r="580" spans="1:44" x14ac:dyDescent="0.25">
      <c r="A580" s="5">
        <v>45842</v>
      </c>
      <c r="B580" s="30" t="s">
        <v>8</v>
      </c>
      <c r="C580" s="30">
        <v>2025</v>
      </c>
      <c r="D580" s="3" t="s">
        <v>337</v>
      </c>
      <c r="E580" s="49"/>
      <c r="F580" s="49">
        <v>450</v>
      </c>
      <c r="G580" s="49">
        <f t="shared" si="12"/>
        <v>-449.99999999999</v>
      </c>
    </row>
    <row r="581" spans="1:44" x14ac:dyDescent="0.25">
      <c r="A581" s="5">
        <v>45842</v>
      </c>
      <c r="B581" s="30" t="s">
        <v>8</v>
      </c>
      <c r="C581" s="30">
        <v>2025</v>
      </c>
      <c r="D581" s="3" t="s">
        <v>27</v>
      </c>
      <c r="F581" s="4">
        <v>300</v>
      </c>
      <c r="G581" s="47">
        <f>G580+E581-F581</f>
        <v>-749.99999999999</v>
      </c>
    </row>
    <row r="582" spans="1:44" x14ac:dyDescent="0.25">
      <c r="A582" s="5">
        <v>45842</v>
      </c>
      <c r="B582" s="30" t="s">
        <v>8</v>
      </c>
      <c r="C582" s="30">
        <v>2025</v>
      </c>
      <c r="D582" s="3" t="s">
        <v>27</v>
      </c>
      <c r="F582" s="4">
        <v>260</v>
      </c>
      <c r="G582" s="47">
        <f t="shared" si="12"/>
        <v>-1009.99999999999</v>
      </c>
      <c r="L582" s="6"/>
      <c r="M582" s="7"/>
      <c r="N582" s="30"/>
      <c r="O582" s="8"/>
      <c r="P582" s="47"/>
      <c r="Q582" s="47"/>
    </row>
    <row r="583" spans="1:44" x14ac:dyDescent="0.25">
      <c r="A583" s="5">
        <v>45842</v>
      </c>
      <c r="B583" s="30" t="s">
        <v>8</v>
      </c>
      <c r="C583" s="30">
        <v>2025</v>
      </c>
      <c r="D583" s="8" t="s">
        <v>338</v>
      </c>
      <c r="F583" s="4">
        <v>250</v>
      </c>
      <c r="G583" s="47">
        <f t="shared" si="12"/>
        <v>-1259.99999999999</v>
      </c>
      <c r="L583" s="6"/>
      <c r="M583" s="7"/>
      <c r="N583" s="30"/>
      <c r="O583" s="8"/>
      <c r="P583" s="49"/>
      <c r="Q583" s="49"/>
    </row>
    <row r="584" spans="1:44" x14ac:dyDescent="0.25">
      <c r="A584" s="5">
        <v>45842</v>
      </c>
      <c r="B584" s="30" t="s">
        <v>8</v>
      </c>
      <c r="C584" s="30">
        <v>2025</v>
      </c>
      <c r="D584" s="20" t="s">
        <v>339</v>
      </c>
      <c r="F584" s="4">
        <v>2100</v>
      </c>
      <c r="G584" s="49">
        <f t="shared" ref="G584:G644" si="13">G583+E584-F584</f>
        <v>-3359.99999999999</v>
      </c>
      <c r="L584" s="6"/>
      <c r="M584" s="7"/>
      <c r="N584" s="30"/>
      <c r="O584" s="3"/>
      <c r="P584" s="49"/>
      <c r="Q584" s="49"/>
    </row>
    <row r="585" spans="1:44" x14ac:dyDescent="0.25">
      <c r="A585" s="5">
        <v>45843</v>
      </c>
      <c r="B585" s="30" t="s">
        <v>8</v>
      </c>
      <c r="C585" s="30">
        <v>2025</v>
      </c>
      <c r="D585" s="72" t="s">
        <v>67</v>
      </c>
      <c r="E585" s="4">
        <v>10000</v>
      </c>
      <c r="G585" s="49">
        <f t="shared" si="13"/>
        <v>6640.00000000001</v>
      </c>
      <c r="L585" s="5"/>
      <c r="M585" s="7"/>
      <c r="N585" s="30"/>
      <c r="O585" s="3"/>
      <c r="P585" s="49"/>
      <c r="Q585" s="49"/>
    </row>
    <row r="586" spans="1:44" x14ac:dyDescent="0.25">
      <c r="A586" s="5">
        <v>45846</v>
      </c>
      <c r="B586" s="30" t="s">
        <v>8</v>
      </c>
      <c r="C586" s="30">
        <v>2025</v>
      </c>
      <c r="D586" s="3" t="s">
        <v>340</v>
      </c>
      <c r="F586" s="4">
        <v>200</v>
      </c>
      <c r="G586" s="49">
        <f t="shared" si="13"/>
        <v>6440.00000000001</v>
      </c>
      <c r="K586" s="5"/>
      <c r="L586" s="5"/>
      <c r="M586" s="7"/>
      <c r="N586" s="30"/>
      <c r="O586" s="3"/>
      <c r="P586" s="49"/>
      <c r="Q586" s="49"/>
    </row>
    <row r="587" spans="1:44" x14ac:dyDescent="0.25">
      <c r="A587" s="5">
        <v>45847</v>
      </c>
      <c r="B587" s="30" t="s">
        <v>8</v>
      </c>
      <c r="C587" s="30">
        <v>2025</v>
      </c>
      <c r="D587" s="3" t="s">
        <v>341</v>
      </c>
      <c r="F587" s="4">
        <v>4608</v>
      </c>
      <c r="G587" s="49">
        <f t="shared" si="13"/>
        <v>1832.00000000001</v>
      </c>
    </row>
    <row r="588" spans="1:44" x14ac:dyDescent="0.25">
      <c r="A588" s="5">
        <v>45847</v>
      </c>
      <c r="B588" s="30" t="s">
        <v>8</v>
      </c>
      <c r="C588" s="30">
        <v>2025</v>
      </c>
      <c r="D588" s="3" t="s">
        <v>342</v>
      </c>
      <c r="F588" s="4">
        <v>100</v>
      </c>
      <c r="G588" s="49">
        <f t="shared" si="13"/>
        <v>1732.00000000001</v>
      </c>
    </row>
    <row r="589" spans="1:44" x14ac:dyDescent="0.25">
      <c r="A589" s="5">
        <v>45849</v>
      </c>
      <c r="B589" s="30" t="s">
        <v>8</v>
      </c>
      <c r="C589" s="30">
        <v>2025</v>
      </c>
      <c r="D589" s="3" t="s">
        <v>340</v>
      </c>
      <c r="F589" s="4">
        <v>300</v>
      </c>
      <c r="G589" s="49">
        <f t="shared" si="13"/>
        <v>1432.00000000001</v>
      </c>
    </row>
    <row r="590" spans="1:44" x14ac:dyDescent="0.25">
      <c r="A590" s="5">
        <v>45849</v>
      </c>
      <c r="B590" s="30" t="s">
        <v>8</v>
      </c>
      <c r="C590" s="30">
        <v>2025</v>
      </c>
      <c r="D590" s="3" t="s">
        <v>106</v>
      </c>
      <c r="F590" s="4">
        <v>300</v>
      </c>
      <c r="G590" s="49">
        <f t="shared" si="13"/>
        <v>1132.00000000001</v>
      </c>
    </row>
    <row r="591" spans="1:44" s="16" customFormat="1" x14ac:dyDescent="0.25">
      <c r="A591" s="5">
        <v>45847</v>
      </c>
      <c r="B591" s="30" t="s">
        <v>8</v>
      </c>
      <c r="C591" s="30">
        <v>2025</v>
      </c>
      <c r="D591" s="8" t="s">
        <v>343</v>
      </c>
      <c r="E591" s="9"/>
      <c r="F591" s="9">
        <v>340</v>
      </c>
      <c r="G591" s="47">
        <f t="shared" si="13"/>
        <v>792.00000000001</v>
      </c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</row>
    <row r="592" spans="1:44" s="17" customFormat="1" x14ac:dyDescent="0.25">
      <c r="A592" s="5">
        <v>45849</v>
      </c>
      <c r="B592" s="30" t="s">
        <v>8</v>
      </c>
      <c r="C592" s="30">
        <v>2025</v>
      </c>
      <c r="D592" s="8" t="s">
        <v>344</v>
      </c>
      <c r="E592" s="47"/>
      <c r="F592" s="47">
        <v>182</v>
      </c>
      <c r="G592" s="47">
        <f t="shared" si="13"/>
        <v>610.00000000001</v>
      </c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</row>
    <row r="593" spans="1:44" x14ac:dyDescent="0.25">
      <c r="A593" s="5">
        <v>45849</v>
      </c>
      <c r="B593" s="30" t="s">
        <v>8</v>
      </c>
      <c r="C593" s="30">
        <v>2025</v>
      </c>
      <c r="D593" s="3" t="s">
        <v>345</v>
      </c>
      <c r="F593" s="4">
        <v>1983.68</v>
      </c>
      <c r="G593" s="49">
        <f t="shared" si="13"/>
        <v>-1373.6799999999901</v>
      </c>
    </row>
    <row r="594" spans="1:44" x14ac:dyDescent="0.25">
      <c r="A594" s="5">
        <v>45849</v>
      </c>
      <c r="B594" s="30" t="s">
        <v>8</v>
      </c>
      <c r="C594" s="30">
        <v>2025</v>
      </c>
      <c r="D594" s="3" t="s">
        <v>346</v>
      </c>
      <c r="F594" s="4">
        <v>2100</v>
      </c>
      <c r="G594" s="49">
        <f t="shared" si="13"/>
        <v>-3473.6799999999903</v>
      </c>
    </row>
    <row r="595" spans="1:44" x14ac:dyDescent="0.25">
      <c r="A595" s="5">
        <v>45853</v>
      </c>
      <c r="B595" s="30" t="s">
        <v>8</v>
      </c>
      <c r="C595" s="30">
        <v>2025</v>
      </c>
      <c r="D595" s="3" t="s">
        <v>347</v>
      </c>
      <c r="F595" s="4">
        <v>600</v>
      </c>
      <c r="G595" s="49">
        <f t="shared" si="13"/>
        <v>-4073.6799999999903</v>
      </c>
    </row>
    <row r="596" spans="1:44" x14ac:dyDescent="0.25">
      <c r="A596" s="5">
        <v>45850</v>
      </c>
      <c r="B596" s="30" t="s">
        <v>8</v>
      </c>
      <c r="C596" s="30">
        <v>2025</v>
      </c>
      <c r="D596" s="3" t="s">
        <v>348</v>
      </c>
      <c r="F596" s="4">
        <v>450</v>
      </c>
      <c r="G596" s="49">
        <f t="shared" si="13"/>
        <v>-4523.6799999999903</v>
      </c>
    </row>
    <row r="597" spans="1:44" s="17" customFormat="1" x14ac:dyDescent="0.25">
      <c r="A597" s="6">
        <v>45852</v>
      </c>
      <c r="B597" s="30" t="s">
        <v>8</v>
      </c>
      <c r="C597" s="30">
        <v>2025</v>
      </c>
      <c r="D597" s="8" t="s">
        <v>349</v>
      </c>
      <c r="E597" s="47"/>
      <c r="F597" s="47">
        <v>190</v>
      </c>
      <c r="G597" s="47">
        <f t="shared" si="13"/>
        <v>-4713.6799999999903</v>
      </c>
      <c r="H597" s="37"/>
      <c r="I597" s="37"/>
      <c r="J597" s="37"/>
      <c r="K597" s="37"/>
      <c r="L597" s="37"/>
      <c r="M597" s="37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</row>
    <row r="598" spans="1:44" x14ac:dyDescent="0.25">
      <c r="A598" s="6">
        <v>45852</v>
      </c>
      <c r="B598" s="30" t="s">
        <v>8</v>
      </c>
      <c r="C598" s="30">
        <v>2025</v>
      </c>
      <c r="D598" s="3" t="s">
        <v>350</v>
      </c>
      <c r="F598" s="4">
        <v>109.9</v>
      </c>
      <c r="G598" s="49">
        <f t="shared" si="13"/>
        <v>-4823.5799999999899</v>
      </c>
    </row>
    <row r="599" spans="1:44" x14ac:dyDescent="0.25">
      <c r="A599" s="5">
        <v>45849</v>
      </c>
      <c r="B599" s="30" t="s">
        <v>8</v>
      </c>
      <c r="C599" s="30">
        <v>2025</v>
      </c>
      <c r="D599" s="3" t="s">
        <v>351</v>
      </c>
      <c r="F599" s="4">
        <v>450</v>
      </c>
      <c r="G599" s="49">
        <f t="shared" si="13"/>
        <v>-5273.5799999999899</v>
      </c>
    </row>
    <row r="600" spans="1:44" x14ac:dyDescent="0.25">
      <c r="A600" s="5">
        <v>45849</v>
      </c>
      <c r="B600" s="30" t="s">
        <v>8</v>
      </c>
      <c r="C600" s="30">
        <v>2025</v>
      </c>
      <c r="D600" s="72" t="s">
        <v>67</v>
      </c>
      <c r="E600" s="4">
        <v>10000</v>
      </c>
      <c r="G600" s="49">
        <f t="shared" si="13"/>
        <v>4726.4200000000101</v>
      </c>
    </row>
    <row r="601" spans="1:44" x14ac:dyDescent="0.25">
      <c r="A601" s="5">
        <v>45856</v>
      </c>
      <c r="B601" s="30" t="s">
        <v>8</v>
      </c>
      <c r="C601" s="30">
        <v>2025</v>
      </c>
      <c r="D601" s="3" t="s">
        <v>352</v>
      </c>
      <c r="F601" s="4">
        <v>2100</v>
      </c>
      <c r="G601" s="49">
        <f t="shared" si="13"/>
        <v>2626.4200000000101</v>
      </c>
    </row>
    <row r="602" spans="1:44" x14ac:dyDescent="0.25">
      <c r="A602" s="5">
        <v>45856</v>
      </c>
      <c r="B602" s="30" t="s">
        <v>8</v>
      </c>
      <c r="C602" s="30">
        <v>2025</v>
      </c>
      <c r="D602" s="8" t="s">
        <v>353</v>
      </c>
      <c r="F602" s="4">
        <v>1650</v>
      </c>
      <c r="G602" s="49">
        <f t="shared" si="13"/>
        <v>976.42000000001008</v>
      </c>
    </row>
    <row r="603" spans="1:44" x14ac:dyDescent="0.25">
      <c r="A603" s="5">
        <v>45856</v>
      </c>
      <c r="B603" s="30" t="s">
        <v>8</v>
      </c>
      <c r="C603" s="30">
        <v>2025</v>
      </c>
      <c r="D603" s="8" t="s">
        <v>353</v>
      </c>
      <c r="F603" s="4">
        <v>400</v>
      </c>
      <c r="G603" s="49">
        <f t="shared" si="13"/>
        <v>576.42000000001008</v>
      </c>
    </row>
    <row r="604" spans="1:44" x14ac:dyDescent="0.25">
      <c r="A604" s="5">
        <v>45856</v>
      </c>
      <c r="B604" s="30" t="s">
        <v>8</v>
      </c>
      <c r="C604" s="30">
        <v>2025</v>
      </c>
      <c r="D604" s="3" t="s">
        <v>348</v>
      </c>
      <c r="F604" s="4">
        <v>191</v>
      </c>
      <c r="G604" s="49">
        <f t="shared" si="13"/>
        <v>385.42000000001008</v>
      </c>
    </row>
    <row r="605" spans="1:44" x14ac:dyDescent="0.25">
      <c r="A605" s="5">
        <v>45856</v>
      </c>
      <c r="B605" s="30" t="s">
        <v>8</v>
      </c>
      <c r="C605" s="30">
        <v>2025</v>
      </c>
      <c r="D605" s="3" t="s">
        <v>354</v>
      </c>
      <c r="F605" s="4">
        <v>400</v>
      </c>
      <c r="G605" s="49">
        <f t="shared" si="13"/>
        <v>-14.579999999989923</v>
      </c>
    </row>
    <row r="606" spans="1:44" s="17" customFormat="1" x14ac:dyDescent="0.25">
      <c r="A606" s="5">
        <v>45857</v>
      </c>
      <c r="B606" s="7" t="s">
        <v>8</v>
      </c>
      <c r="C606" s="30">
        <v>2025</v>
      </c>
      <c r="D606" s="3" t="s">
        <v>348</v>
      </c>
      <c r="E606" s="47"/>
      <c r="F606" s="47">
        <v>409</v>
      </c>
      <c r="G606" s="47">
        <f t="shared" si="13"/>
        <v>-423.57999999998992</v>
      </c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</row>
    <row r="607" spans="1:44" x14ac:dyDescent="0.25">
      <c r="A607" s="5">
        <v>45860</v>
      </c>
      <c r="B607" s="7" t="s">
        <v>8</v>
      </c>
      <c r="C607" s="30">
        <v>2025</v>
      </c>
      <c r="D607" s="3" t="s">
        <v>359</v>
      </c>
      <c r="F607" s="4">
        <v>1400</v>
      </c>
      <c r="G607" s="49">
        <f t="shared" si="13"/>
        <v>-1823.5799999999899</v>
      </c>
    </row>
    <row r="608" spans="1:44" s="17" customFormat="1" x14ac:dyDescent="0.25">
      <c r="A608" s="5">
        <v>45860</v>
      </c>
      <c r="B608" s="7" t="s">
        <v>8</v>
      </c>
      <c r="C608" s="30">
        <v>2025</v>
      </c>
      <c r="D608" s="8" t="s">
        <v>360</v>
      </c>
      <c r="E608" s="47"/>
      <c r="F608" s="47">
        <v>600</v>
      </c>
      <c r="G608" s="47">
        <f>G607+E608-F608</f>
        <v>-2423.5799999999899</v>
      </c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</row>
    <row r="609" spans="1:44" x14ac:dyDescent="0.25">
      <c r="A609" s="5">
        <v>45860</v>
      </c>
      <c r="B609" s="7" t="s">
        <v>8</v>
      </c>
      <c r="C609" s="30">
        <v>2025</v>
      </c>
      <c r="D609" s="72" t="s">
        <v>67</v>
      </c>
      <c r="E609" s="49">
        <v>10000</v>
      </c>
      <c r="F609" s="47"/>
      <c r="G609" s="47">
        <f t="shared" si="13"/>
        <v>7576.4200000000101</v>
      </c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</row>
    <row r="610" spans="1:44" x14ac:dyDescent="0.25">
      <c r="A610" s="6">
        <v>45862</v>
      </c>
      <c r="B610" s="7" t="s">
        <v>8</v>
      </c>
      <c r="C610" s="30">
        <v>2025</v>
      </c>
      <c r="D610" s="8" t="s">
        <v>361</v>
      </c>
      <c r="E610" s="47"/>
      <c r="F610" s="47">
        <v>500</v>
      </c>
      <c r="G610" s="49">
        <f t="shared" si="13"/>
        <v>7076.4200000000101</v>
      </c>
    </row>
    <row r="611" spans="1:44" x14ac:dyDescent="0.25">
      <c r="A611" s="6">
        <v>45862</v>
      </c>
      <c r="B611" s="7" t="s">
        <v>8</v>
      </c>
      <c r="C611" s="30">
        <v>2025</v>
      </c>
      <c r="D611" s="8" t="s">
        <v>362</v>
      </c>
      <c r="E611" s="49"/>
      <c r="F611" s="49">
        <v>500</v>
      </c>
      <c r="G611" s="49">
        <f t="shared" si="13"/>
        <v>6576.4200000000101</v>
      </c>
    </row>
    <row r="612" spans="1:44" x14ac:dyDescent="0.25">
      <c r="A612" s="6">
        <v>45862</v>
      </c>
      <c r="B612" s="7" t="s">
        <v>8</v>
      </c>
      <c r="C612" s="30">
        <v>2025</v>
      </c>
      <c r="D612" s="3" t="s">
        <v>363</v>
      </c>
      <c r="E612" s="49"/>
      <c r="F612" s="49">
        <v>500</v>
      </c>
      <c r="G612" s="49">
        <f t="shared" si="13"/>
        <v>6076.4200000000101</v>
      </c>
    </row>
    <row r="613" spans="1:44" x14ac:dyDescent="0.25">
      <c r="A613" s="5">
        <v>45863</v>
      </c>
      <c r="B613" s="7" t="s">
        <v>8</v>
      </c>
      <c r="C613" s="30">
        <v>2025</v>
      </c>
      <c r="D613" s="3" t="s">
        <v>364</v>
      </c>
      <c r="E613" s="49"/>
      <c r="F613" s="49">
        <v>900</v>
      </c>
      <c r="G613" s="49">
        <f t="shared" si="13"/>
        <v>5176.4200000000101</v>
      </c>
    </row>
    <row r="614" spans="1:44" x14ac:dyDescent="0.25">
      <c r="A614" s="5">
        <v>45863</v>
      </c>
      <c r="B614" s="7" t="s">
        <v>8</v>
      </c>
      <c r="C614" s="30">
        <v>2025</v>
      </c>
      <c r="D614" s="3" t="s">
        <v>365</v>
      </c>
      <c r="E614" s="49"/>
      <c r="F614" s="49">
        <v>1330</v>
      </c>
      <c r="G614" s="49">
        <f t="shared" si="13"/>
        <v>3846.4200000000101</v>
      </c>
    </row>
    <row r="615" spans="1:44" x14ac:dyDescent="0.25">
      <c r="A615" s="5">
        <v>45863</v>
      </c>
      <c r="B615" s="7" t="s">
        <v>8</v>
      </c>
      <c r="C615" s="30">
        <v>2025</v>
      </c>
      <c r="D615" s="3" t="s">
        <v>352</v>
      </c>
      <c r="E615" s="49"/>
      <c r="F615" s="49">
        <v>2100</v>
      </c>
      <c r="G615" s="49">
        <f t="shared" si="13"/>
        <v>1746.4200000000101</v>
      </c>
    </row>
    <row r="616" spans="1:44" x14ac:dyDescent="0.25">
      <c r="A616" s="5">
        <v>45864</v>
      </c>
      <c r="B616" s="7" t="s">
        <v>8</v>
      </c>
      <c r="C616" s="30">
        <v>2025</v>
      </c>
      <c r="D616" s="3" t="s">
        <v>366</v>
      </c>
      <c r="F616" s="4">
        <v>500</v>
      </c>
      <c r="G616" s="49">
        <f t="shared" si="13"/>
        <v>1246.4200000000101</v>
      </c>
    </row>
    <row r="617" spans="1:44" x14ac:dyDescent="0.25">
      <c r="A617" s="5">
        <v>45864</v>
      </c>
      <c r="B617" s="7" t="s">
        <v>8</v>
      </c>
      <c r="C617" s="30">
        <v>2025</v>
      </c>
      <c r="D617" s="3" t="s">
        <v>338</v>
      </c>
      <c r="F617" s="4">
        <v>305</v>
      </c>
      <c r="G617" s="49">
        <f t="shared" si="13"/>
        <v>941.42000000001008</v>
      </c>
    </row>
    <row r="618" spans="1:44" x14ac:dyDescent="0.25">
      <c r="A618" s="5">
        <v>45867</v>
      </c>
      <c r="B618" s="7" t="s">
        <v>8</v>
      </c>
      <c r="C618" s="30">
        <v>2025</v>
      </c>
      <c r="D618" s="3" t="s">
        <v>364</v>
      </c>
      <c r="F618" s="4">
        <v>1080</v>
      </c>
      <c r="G618" s="49">
        <f t="shared" si="13"/>
        <v>-138.57999999998992</v>
      </c>
    </row>
    <row r="619" spans="1:44" x14ac:dyDescent="0.25">
      <c r="A619" s="5">
        <v>45869</v>
      </c>
      <c r="B619" s="7" t="s">
        <v>8</v>
      </c>
      <c r="C619" s="30">
        <v>2025</v>
      </c>
      <c r="D619" s="3" t="s">
        <v>348</v>
      </c>
      <c r="F619" s="4">
        <v>425</v>
      </c>
      <c r="G619" s="49">
        <f t="shared" si="13"/>
        <v>-563.57999999998992</v>
      </c>
    </row>
    <row r="620" spans="1:44" s="17" customFormat="1" x14ac:dyDescent="0.25">
      <c r="A620" s="5">
        <v>45869</v>
      </c>
      <c r="B620" s="7" t="s">
        <v>8</v>
      </c>
      <c r="C620" s="30">
        <v>2025</v>
      </c>
      <c r="D620" s="8" t="s">
        <v>367</v>
      </c>
      <c r="E620" s="47"/>
      <c r="F620" s="47">
        <v>500</v>
      </c>
      <c r="G620" s="47">
        <f t="shared" si="13"/>
        <v>-1063.5799999999899</v>
      </c>
      <c r="H620" s="37"/>
      <c r="I620" s="37"/>
      <c r="J620" s="37"/>
      <c r="K620" s="37"/>
      <c r="L620" s="37"/>
      <c r="M620" s="37"/>
      <c r="N620" s="37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</row>
    <row r="621" spans="1:44" x14ac:dyDescent="0.25">
      <c r="A621" s="5">
        <v>45873</v>
      </c>
      <c r="B621" s="30" t="s">
        <v>59</v>
      </c>
      <c r="C621" s="30">
        <v>2025</v>
      </c>
      <c r="D621" s="3" t="s">
        <v>337</v>
      </c>
      <c r="F621" s="4">
        <v>500</v>
      </c>
      <c r="G621" s="49">
        <f t="shared" si="13"/>
        <v>-1563.5799999999899</v>
      </c>
    </row>
    <row r="622" spans="1:44" x14ac:dyDescent="0.25">
      <c r="A622" s="5">
        <v>45873</v>
      </c>
      <c r="B622" s="30" t="s">
        <v>59</v>
      </c>
      <c r="C622" s="30">
        <v>2025</v>
      </c>
      <c r="D622" s="3" t="s">
        <v>347</v>
      </c>
      <c r="F622" s="4">
        <v>300</v>
      </c>
      <c r="G622" s="49">
        <f t="shared" si="13"/>
        <v>-1863.5799999999899</v>
      </c>
    </row>
    <row r="623" spans="1:44" x14ac:dyDescent="0.25">
      <c r="A623" s="5">
        <v>45874</v>
      </c>
      <c r="B623" s="30" t="s">
        <v>59</v>
      </c>
      <c r="C623" s="30">
        <v>2025</v>
      </c>
      <c r="D623" s="3" t="s">
        <v>348</v>
      </c>
      <c r="F623" s="4">
        <v>270</v>
      </c>
      <c r="G623" s="49">
        <f t="shared" si="13"/>
        <v>-2133.5799999999899</v>
      </c>
    </row>
    <row r="624" spans="1:44" x14ac:dyDescent="0.25">
      <c r="A624" s="5">
        <v>45870</v>
      </c>
      <c r="B624" s="30" t="s">
        <v>59</v>
      </c>
      <c r="C624" s="30">
        <v>2025</v>
      </c>
      <c r="D624" s="3" t="s">
        <v>346</v>
      </c>
      <c r="F624" s="4">
        <v>2100</v>
      </c>
      <c r="G624" s="49">
        <f>G623+E624-F624</f>
        <v>-4233.5799999999899</v>
      </c>
    </row>
    <row r="625" spans="1:44" x14ac:dyDescent="0.25">
      <c r="A625" s="5">
        <v>45863</v>
      </c>
      <c r="B625" s="7" t="s">
        <v>8</v>
      </c>
      <c r="C625" s="30">
        <v>2025</v>
      </c>
      <c r="D625" s="3" t="s">
        <v>368</v>
      </c>
      <c r="F625" s="4">
        <v>300</v>
      </c>
      <c r="G625" s="49">
        <f t="shared" si="13"/>
        <v>-4533.5799999999899</v>
      </c>
    </row>
    <row r="626" spans="1:44" x14ac:dyDescent="0.25">
      <c r="A626" s="5">
        <v>45874</v>
      </c>
      <c r="B626" s="30" t="s">
        <v>59</v>
      </c>
      <c r="C626" s="30">
        <v>2025</v>
      </c>
      <c r="D626" s="3" t="s">
        <v>369</v>
      </c>
      <c r="F626" s="4">
        <v>500</v>
      </c>
      <c r="G626" s="49">
        <f t="shared" si="13"/>
        <v>-5033.5799999999899</v>
      </c>
    </row>
    <row r="627" spans="1:44" x14ac:dyDescent="0.25">
      <c r="A627" s="5">
        <v>45875</v>
      </c>
      <c r="B627" s="30" t="s">
        <v>59</v>
      </c>
      <c r="C627" s="30">
        <v>2025</v>
      </c>
      <c r="D627" s="3" t="s">
        <v>368</v>
      </c>
      <c r="F627" s="4">
        <v>630</v>
      </c>
      <c r="G627" s="49">
        <f t="shared" si="13"/>
        <v>-5663.5799999999899</v>
      </c>
    </row>
    <row r="628" spans="1:44" x14ac:dyDescent="0.25">
      <c r="A628" s="5">
        <v>45876</v>
      </c>
      <c r="B628" s="30" t="s">
        <v>59</v>
      </c>
      <c r="C628" s="30">
        <v>2025</v>
      </c>
      <c r="D628" s="3" t="s">
        <v>370</v>
      </c>
      <c r="F628" s="4">
        <v>600</v>
      </c>
      <c r="G628" s="49">
        <f t="shared" si="13"/>
        <v>-6263.5799999999899</v>
      </c>
    </row>
    <row r="629" spans="1:44" x14ac:dyDescent="0.25">
      <c r="A629" s="5">
        <v>45876</v>
      </c>
      <c r="B629" s="30" t="s">
        <v>59</v>
      </c>
      <c r="C629" s="30">
        <v>2025</v>
      </c>
      <c r="D629" s="3" t="s">
        <v>371</v>
      </c>
      <c r="F629" s="4">
        <v>400</v>
      </c>
      <c r="G629" s="49">
        <f t="shared" si="13"/>
        <v>-6663.5799999999899</v>
      </c>
    </row>
    <row r="630" spans="1:44" x14ac:dyDescent="0.25">
      <c r="A630" s="5">
        <v>45877</v>
      </c>
      <c r="B630" s="30" t="s">
        <v>59</v>
      </c>
      <c r="C630" s="30">
        <v>2025</v>
      </c>
      <c r="D630" s="3" t="s">
        <v>346</v>
      </c>
      <c r="F630" s="4">
        <v>2100</v>
      </c>
      <c r="G630" s="49">
        <f t="shared" si="13"/>
        <v>-8763.5799999999908</v>
      </c>
    </row>
    <row r="631" spans="1:44" x14ac:dyDescent="0.25">
      <c r="A631" s="5">
        <v>45877</v>
      </c>
      <c r="B631" s="30" t="s">
        <v>59</v>
      </c>
      <c r="C631" s="30">
        <v>2025</v>
      </c>
      <c r="D631" s="3" t="s">
        <v>372</v>
      </c>
      <c r="F631" s="4">
        <v>450</v>
      </c>
      <c r="G631" s="49">
        <f t="shared" si="13"/>
        <v>-9213.5799999999908</v>
      </c>
    </row>
    <row r="632" spans="1:44" x14ac:dyDescent="0.25">
      <c r="A632" s="5">
        <v>45874</v>
      </c>
      <c r="B632" s="30" t="s">
        <v>59</v>
      </c>
      <c r="C632" s="30">
        <v>2025</v>
      </c>
      <c r="D632" s="72" t="s">
        <v>67</v>
      </c>
      <c r="E632" s="4">
        <v>10000</v>
      </c>
      <c r="G632" s="49">
        <f t="shared" si="13"/>
        <v>786.42000000000917</v>
      </c>
    </row>
    <row r="633" spans="1:44" x14ac:dyDescent="0.25">
      <c r="A633" s="5">
        <v>45877</v>
      </c>
      <c r="B633" s="30" t="s">
        <v>59</v>
      </c>
      <c r="C633" s="30">
        <v>2025</v>
      </c>
      <c r="D633" s="3" t="s">
        <v>20</v>
      </c>
      <c r="F633" s="4">
        <v>1040</v>
      </c>
      <c r="G633" s="49">
        <f t="shared" si="13"/>
        <v>-253.57999999999083</v>
      </c>
    </row>
    <row r="634" spans="1:44" x14ac:dyDescent="0.25">
      <c r="A634" s="5">
        <v>45877</v>
      </c>
      <c r="B634" s="30" t="s">
        <v>59</v>
      </c>
      <c r="C634" s="30">
        <v>2025</v>
      </c>
      <c r="D634" s="8" t="s">
        <v>373</v>
      </c>
      <c r="E634" s="47"/>
      <c r="F634" s="47">
        <v>1000</v>
      </c>
      <c r="G634" s="47">
        <f t="shared" si="13"/>
        <v>-1253.5799999999908</v>
      </c>
      <c r="H634" s="37"/>
    </row>
    <row r="635" spans="1:44" s="17" customFormat="1" x14ac:dyDescent="0.25">
      <c r="A635" s="6">
        <v>45880</v>
      </c>
      <c r="B635" s="30" t="s">
        <v>59</v>
      </c>
      <c r="C635" s="30">
        <v>2025</v>
      </c>
      <c r="D635" s="8" t="s">
        <v>374</v>
      </c>
      <c r="E635" s="47"/>
      <c r="F635" s="47">
        <v>600</v>
      </c>
      <c r="G635" s="47">
        <f t="shared" si="13"/>
        <v>-1853.5799999999908</v>
      </c>
      <c r="H635" s="37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</row>
    <row r="636" spans="1:44" x14ac:dyDescent="0.25">
      <c r="A636" s="5">
        <v>45878</v>
      </c>
      <c r="B636" s="30" t="s">
        <v>59</v>
      </c>
      <c r="C636" s="30">
        <v>2025</v>
      </c>
      <c r="D636" s="3" t="s">
        <v>375</v>
      </c>
      <c r="F636" s="4">
        <v>2114.59</v>
      </c>
      <c r="G636" s="49">
        <f t="shared" si="13"/>
        <v>-3968.169999999991</v>
      </c>
    </row>
    <row r="637" spans="1:44" x14ac:dyDescent="0.25">
      <c r="A637" s="5">
        <v>45880</v>
      </c>
      <c r="B637" s="30" t="s">
        <v>59</v>
      </c>
      <c r="C637" s="30">
        <v>2025</v>
      </c>
      <c r="D637" s="3" t="s">
        <v>376</v>
      </c>
      <c r="F637" s="4">
        <v>2376.62</v>
      </c>
      <c r="G637" s="49">
        <f>G636+E637-F637</f>
        <v>-6344.7899999999909</v>
      </c>
    </row>
    <row r="638" spans="1:44" x14ac:dyDescent="0.25">
      <c r="A638" s="5">
        <v>45882</v>
      </c>
      <c r="B638" s="30" t="s">
        <v>59</v>
      </c>
      <c r="C638" s="30">
        <v>2025</v>
      </c>
      <c r="D638" s="3" t="s">
        <v>377</v>
      </c>
      <c r="F638" s="4">
        <v>664</v>
      </c>
      <c r="G638" s="49">
        <f>G637+E638-F638</f>
        <v>-7008.7899999999909</v>
      </c>
    </row>
    <row r="639" spans="1:44" x14ac:dyDescent="0.25">
      <c r="A639" s="5">
        <v>45882</v>
      </c>
      <c r="B639" s="30" t="s">
        <v>59</v>
      </c>
      <c r="C639" s="30">
        <v>2025</v>
      </c>
      <c r="D639" s="3" t="s">
        <v>378</v>
      </c>
      <c r="F639" s="4">
        <v>170</v>
      </c>
      <c r="G639" s="49">
        <f t="shared" si="13"/>
        <v>-7178.7899999999909</v>
      </c>
    </row>
    <row r="640" spans="1:44" x14ac:dyDescent="0.25">
      <c r="A640" s="5">
        <v>45882</v>
      </c>
      <c r="B640" s="30" t="s">
        <v>59</v>
      </c>
      <c r="C640" s="30">
        <v>2025</v>
      </c>
      <c r="D640" s="3" t="s">
        <v>379</v>
      </c>
      <c r="F640" s="4">
        <v>470</v>
      </c>
      <c r="G640" s="49">
        <f t="shared" si="13"/>
        <v>-7648.7899999999909</v>
      </c>
    </row>
    <row r="641" spans="1:44" x14ac:dyDescent="0.25">
      <c r="A641" s="5">
        <v>45883</v>
      </c>
      <c r="B641" s="30" t="s">
        <v>59</v>
      </c>
      <c r="C641" s="30">
        <v>2025</v>
      </c>
      <c r="D641" s="3" t="s">
        <v>382</v>
      </c>
      <c r="F641" s="4">
        <v>957</v>
      </c>
      <c r="G641" s="49">
        <f t="shared" si="13"/>
        <v>-8605.78999999999</v>
      </c>
    </row>
    <row r="642" spans="1:44" x14ac:dyDescent="0.25">
      <c r="A642" s="5">
        <v>45883</v>
      </c>
      <c r="B642" s="30" t="s">
        <v>59</v>
      </c>
      <c r="C642" s="30">
        <v>2025</v>
      </c>
      <c r="D642" s="3" t="s">
        <v>383</v>
      </c>
      <c r="F642" s="4">
        <v>1800</v>
      </c>
      <c r="G642" s="49">
        <f t="shared" si="13"/>
        <v>-10405.78999999999</v>
      </c>
    </row>
    <row r="643" spans="1:44" x14ac:dyDescent="0.25">
      <c r="A643" s="5">
        <v>45883</v>
      </c>
      <c r="B643" s="30" t="s">
        <v>59</v>
      </c>
      <c r="C643" s="30">
        <v>2025</v>
      </c>
      <c r="D643" s="3" t="s">
        <v>380</v>
      </c>
      <c r="F643" s="4">
        <v>1000</v>
      </c>
      <c r="G643" s="49">
        <f t="shared" si="13"/>
        <v>-11405.78999999999</v>
      </c>
    </row>
    <row r="644" spans="1:44" x14ac:dyDescent="0.25">
      <c r="A644" s="5">
        <v>45883</v>
      </c>
      <c r="B644" s="30" t="s">
        <v>59</v>
      </c>
      <c r="C644" s="30">
        <v>2025</v>
      </c>
      <c r="D644" s="3" t="s">
        <v>381</v>
      </c>
      <c r="F644" s="4">
        <v>600</v>
      </c>
      <c r="G644" s="49">
        <f t="shared" si="13"/>
        <v>-12005.78999999999</v>
      </c>
    </row>
    <row r="645" spans="1:44" x14ac:dyDescent="0.25">
      <c r="A645" s="5">
        <v>45883</v>
      </c>
      <c r="B645" s="30" t="s">
        <v>59</v>
      </c>
      <c r="C645" s="30">
        <v>2025</v>
      </c>
      <c r="D645" s="3" t="s">
        <v>106</v>
      </c>
      <c r="F645" s="4">
        <v>300</v>
      </c>
      <c r="G645" s="49">
        <f t="shared" ref="G645:G708" si="14">G644+E645-F645</f>
        <v>-12305.78999999999</v>
      </c>
    </row>
    <row r="646" spans="1:44" x14ac:dyDescent="0.25">
      <c r="A646" s="5">
        <v>45884</v>
      </c>
      <c r="B646" s="30" t="s">
        <v>59</v>
      </c>
      <c r="C646" s="30">
        <v>2025</v>
      </c>
      <c r="D646" s="3" t="s">
        <v>346</v>
      </c>
      <c r="F646" s="4">
        <v>2100</v>
      </c>
      <c r="G646" s="49">
        <f t="shared" si="14"/>
        <v>-14405.78999999999</v>
      </c>
    </row>
    <row r="647" spans="1:44" x14ac:dyDescent="0.25">
      <c r="A647" s="5">
        <v>45882</v>
      </c>
      <c r="B647" s="30" t="s">
        <v>59</v>
      </c>
      <c r="C647" s="30">
        <v>2025</v>
      </c>
      <c r="D647" s="72" t="s">
        <v>67</v>
      </c>
      <c r="E647" s="49">
        <v>10000</v>
      </c>
      <c r="G647" s="49">
        <f t="shared" si="14"/>
        <v>-4405.78999999999</v>
      </c>
    </row>
    <row r="648" spans="1:44" s="17" customFormat="1" x14ac:dyDescent="0.25">
      <c r="A648" s="6">
        <v>45885</v>
      </c>
      <c r="B648" s="30" t="s">
        <v>59</v>
      </c>
      <c r="C648" s="30">
        <v>2025</v>
      </c>
      <c r="D648" s="3" t="s">
        <v>368</v>
      </c>
      <c r="E648" s="47"/>
      <c r="F648" s="47">
        <v>680</v>
      </c>
      <c r="G648" s="47">
        <f t="shared" si="14"/>
        <v>-5085.78999999999</v>
      </c>
      <c r="H648" s="37"/>
      <c r="I648" s="37"/>
      <c r="J648" s="37"/>
      <c r="K648" s="37"/>
      <c r="L648" s="37"/>
      <c r="M648" s="37"/>
      <c r="N648" s="37"/>
      <c r="O648" s="37"/>
      <c r="P648" s="37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</row>
    <row r="649" spans="1:44" x14ac:dyDescent="0.25">
      <c r="A649" s="6">
        <v>45885</v>
      </c>
      <c r="B649" s="30" t="s">
        <v>59</v>
      </c>
      <c r="C649" s="30">
        <v>2025</v>
      </c>
      <c r="D649" s="8" t="s">
        <v>354</v>
      </c>
      <c r="E649" s="47"/>
      <c r="F649" s="47">
        <v>400</v>
      </c>
      <c r="G649" s="47">
        <f t="shared" si="14"/>
        <v>-5485.78999999999</v>
      </c>
      <c r="H649" s="37"/>
      <c r="I649" s="37"/>
      <c r="J649" s="37"/>
      <c r="K649" s="37"/>
      <c r="L649" s="37"/>
      <c r="M649" s="37"/>
      <c r="N649" s="37"/>
      <c r="O649" s="37"/>
      <c r="P649" s="37"/>
    </row>
    <row r="650" spans="1:44" x14ac:dyDescent="0.25">
      <c r="A650" s="5">
        <v>45888</v>
      </c>
      <c r="B650" s="30" t="s">
        <v>59</v>
      </c>
      <c r="C650" s="30">
        <v>2025</v>
      </c>
      <c r="D650" s="3" t="s">
        <v>337</v>
      </c>
      <c r="F650" s="4">
        <v>400</v>
      </c>
      <c r="G650" s="49">
        <f t="shared" si="14"/>
        <v>-5885.78999999999</v>
      </c>
    </row>
    <row r="651" spans="1:44" x14ac:dyDescent="0.25">
      <c r="A651" s="5">
        <v>45888</v>
      </c>
      <c r="B651" s="30" t="s">
        <v>59</v>
      </c>
      <c r="C651" s="30">
        <v>2025</v>
      </c>
      <c r="D651" s="72" t="s">
        <v>67</v>
      </c>
      <c r="E651" s="49">
        <v>10000</v>
      </c>
      <c r="G651" s="49">
        <f t="shared" si="14"/>
        <v>4114.21000000001</v>
      </c>
    </row>
    <row r="652" spans="1:44" s="17" customFormat="1" x14ac:dyDescent="0.25">
      <c r="A652" s="5">
        <v>45888</v>
      </c>
      <c r="B652" s="30" t="s">
        <v>59</v>
      </c>
      <c r="C652" s="30">
        <v>2025</v>
      </c>
      <c r="D652" s="3" t="s">
        <v>384</v>
      </c>
      <c r="E652" s="49"/>
      <c r="F652" s="49">
        <v>2400</v>
      </c>
      <c r="G652" s="47">
        <f t="shared" si="14"/>
        <v>1714.21000000001</v>
      </c>
      <c r="H652" s="37"/>
      <c r="I652" s="37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</row>
    <row r="653" spans="1:44" x14ac:dyDescent="0.25">
      <c r="A653" s="5">
        <v>45888</v>
      </c>
      <c r="B653" s="30" t="s">
        <v>59</v>
      </c>
      <c r="C653" s="30">
        <v>2025</v>
      </c>
      <c r="D653" s="8" t="s">
        <v>374</v>
      </c>
      <c r="E653" s="47"/>
      <c r="F653" s="47">
        <v>600</v>
      </c>
      <c r="G653" s="49">
        <f t="shared" si="14"/>
        <v>1114.21000000001</v>
      </c>
    </row>
    <row r="654" spans="1:44" x14ac:dyDescent="0.25">
      <c r="A654" s="5">
        <v>45888</v>
      </c>
      <c r="B654" s="30" t="s">
        <v>59</v>
      </c>
      <c r="C654" s="30">
        <v>2025</v>
      </c>
      <c r="D654" s="3" t="s">
        <v>385</v>
      </c>
      <c r="F654" s="4">
        <v>150</v>
      </c>
      <c r="G654" s="49">
        <f t="shared" si="14"/>
        <v>964.21000000001004</v>
      </c>
    </row>
    <row r="655" spans="1:44" x14ac:dyDescent="0.25">
      <c r="A655" s="5">
        <v>45890</v>
      </c>
      <c r="B655" s="30" t="s">
        <v>59</v>
      </c>
      <c r="C655" s="30">
        <v>2025</v>
      </c>
      <c r="D655" s="3" t="s">
        <v>385</v>
      </c>
      <c r="F655" s="4">
        <v>250</v>
      </c>
      <c r="G655" s="49">
        <f t="shared" si="14"/>
        <v>714.21000000001004</v>
      </c>
    </row>
    <row r="656" spans="1:44" x14ac:dyDescent="0.25">
      <c r="A656" s="5">
        <v>45890</v>
      </c>
      <c r="B656" s="30" t="s">
        <v>59</v>
      </c>
      <c r="C656" s="30">
        <v>2025</v>
      </c>
      <c r="D656" s="3" t="s">
        <v>386</v>
      </c>
      <c r="F656" s="4">
        <v>265</v>
      </c>
      <c r="G656" s="49">
        <f t="shared" si="14"/>
        <v>449.21000000001004</v>
      </c>
    </row>
    <row r="657" spans="1:44" x14ac:dyDescent="0.25">
      <c r="A657" s="5">
        <v>45890</v>
      </c>
      <c r="B657" s="30" t="s">
        <v>59</v>
      </c>
      <c r="C657" s="30">
        <v>2025</v>
      </c>
      <c r="D657" s="3" t="s">
        <v>387</v>
      </c>
      <c r="F657" s="4">
        <v>175</v>
      </c>
      <c r="G657" s="49">
        <f t="shared" si="14"/>
        <v>274.21000000001004</v>
      </c>
    </row>
    <row r="658" spans="1:44" s="17" customFormat="1" x14ac:dyDescent="0.25">
      <c r="A658" s="5">
        <v>45890</v>
      </c>
      <c r="B658" s="30" t="s">
        <v>59</v>
      </c>
      <c r="C658" s="30">
        <v>2025</v>
      </c>
      <c r="D658" s="3" t="s">
        <v>388</v>
      </c>
      <c r="E658" s="3"/>
      <c r="F658" s="27">
        <v>1720</v>
      </c>
      <c r="G658" s="47">
        <f t="shared" si="14"/>
        <v>-1445.78999999999</v>
      </c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</row>
    <row r="659" spans="1:44" x14ac:dyDescent="0.25">
      <c r="A659" s="5">
        <v>45891</v>
      </c>
      <c r="B659" s="30" t="s">
        <v>59</v>
      </c>
      <c r="C659" s="30">
        <v>2025</v>
      </c>
      <c r="D659" s="3" t="s">
        <v>387</v>
      </c>
      <c r="F659" s="49">
        <v>80</v>
      </c>
      <c r="G659" s="49">
        <f t="shared" si="14"/>
        <v>-1525.78999999999</v>
      </c>
    </row>
    <row r="660" spans="1:44" x14ac:dyDescent="0.25">
      <c r="A660" s="5">
        <v>45891</v>
      </c>
      <c r="B660" s="30" t="s">
        <v>59</v>
      </c>
      <c r="C660" s="30">
        <v>2025</v>
      </c>
      <c r="D660" s="3" t="s">
        <v>346</v>
      </c>
      <c r="F660" s="49">
        <v>2100</v>
      </c>
      <c r="G660" s="49">
        <f t="shared" si="14"/>
        <v>-3625.78999999999</v>
      </c>
    </row>
    <row r="661" spans="1:44" x14ac:dyDescent="0.25">
      <c r="A661" s="5">
        <v>45894</v>
      </c>
      <c r="B661" s="30" t="s">
        <v>59</v>
      </c>
      <c r="C661" s="30">
        <v>2025</v>
      </c>
      <c r="D661" s="3" t="s">
        <v>389</v>
      </c>
      <c r="F661" s="49">
        <v>800</v>
      </c>
      <c r="G661" s="49">
        <f t="shared" si="14"/>
        <v>-4425.78999999999</v>
      </c>
    </row>
    <row r="662" spans="1:44" x14ac:dyDescent="0.25">
      <c r="A662" s="5">
        <v>45895</v>
      </c>
      <c r="B662" s="30" t="s">
        <v>59</v>
      </c>
      <c r="C662" s="30">
        <v>2025</v>
      </c>
      <c r="D662" s="3" t="s">
        <v>391</v>
      </c>
      <c r="F662" s="49">
        <v>1200</v>
      </c>
      <c r="G662" s="49">
        <f t="shared" si="14"/>
        <v>-5625.78999999999</v>
      </c>
    </row>
    <row r="663" spans="1:44" x14ac:dyDescent="0.25">
      <c r="A663" s="5">
        <v>45895</v>
      </c>
      <c r="B663" s="30" t="s">
        <v>59</v>
      </c>
      <c r="C663" s="30">
        <v>2025</v>
      </c>
      <c r="D663" s="3" t="s">
        <v>106</v>
      </c>
      <c r="F663" s="49">
        <v>300</v>
      </c>
      <c r="G663" s="49">
        <f t="shared" si="14"/>
        <v>-5925.78999999999</v>
      </c>
    </row>
    <row r="664" spans="1:44" x14ac:dyDescent="0.25">
      <c r="A664" s="5">
        <v>45895</v>
      </c>
      <c r="B664" s="30" t="s">
        <v>59</v>
      </c>
      <c r="C664" s="30">
        <v>2025</v>
      </c>
      <c r="D664" s="3" t="s">
        <v>390</v>
      </c>
      <c r="F664" s="49">
        <v>2500</v>
      </c>
      <c r="G664" s="49">
        <f t="shared" si="14"/>
        <v>-8425.78999999999</v>
      </c>
    </row>
    <row r="665" spans="1:44" x14ac:dyDescent="0.25">
      <c r="A665" s="5">
        <v>45896</v>
      </c>
      <c r="B665" s="30" t="s">
        <v>59</v>
      </c>
      <c r="C665" s="30">
        <v>2025</v>
      </c>
      <c r="D665" s="72" t="s">
        <v>67</v>
      </c>
      <c r="E665" s="4">
        <v>15000</v>
      </c>
      <c r="F665" s="49"/>
      <c r="G665" s="49">
        <f t="shared" si="14"/>
        <v>6574.21000000001</v>
      </c>
    </row>
    <row r="666" spans="1:44" s="17" customFormat="1" x14ac:dyDescent="0.25">
      <c r="A666" s="6">
        <v>45891</v>
      </c>
      <c r="B666" s="30" t="s">
        <v>59</v>
      </c>
      <c r="C666" s="30">
        <v>2025</v>
      </c>
      <c r="D666" s="8" t="s">
        <v>392</v>
      </c>
      <c r="E666" s="47"/>
      <c r="F666" s="47">
        <v>2360</v>
      </c>
      <c r="G666" s="47">
        <f t="shared" si="14"/>
        <v>4214.21000000001</v>
      </c>
      <c r="H666" s="37"/>
      <c r="I666" s="37"/>
      <c r="J666" s="37"/>
      <c r="K666" s="37"/>
      <c r="L666" s="37"/>
      <c r="M666" s="37"/>
      <c r="N666" s="37"/>
      <c r="O666" s="37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</row>
    <row r="667" spans="1:44" x14ac:dyDescent="0.25">
      <c r="A667" s="6">
        <v>45895</v>
      </c>
      <c r="B667" s="30" t="s">
        <v>59</v>
      </c>
      <c r="C667" s="30">
        <v>2025</v>
      </c>
      <c r="D667" s="75" t="s">
        <v>393</v>
      </c>
      <c r="E667" s="47"/>
      <c r="F667" s="47">
        <v>2000</v>
      </c>
      <c r="G667" s="47">
        <f t="shared" si="14"/>
        <v>2214.21000000001</v>
      </c>
      <c r="H667" s="37"/>
      <c r="I667" s="37"/>
      <c r="J667" s="37"/>
      <c r="K667" s="37"/>
      <c r="L667" s="37"/>
      <c r="M667" s="37"/>
      <c r="N667" s="37"/>
      <c r="O667" s="37"/>
    </row>
    <row r="668" spans="1:44" x14ac:dyDescent="0.25">
      <c r="A668" s="6">
        <v>45898</v>
      </c>
      <c r="B668" s="30" t="s">
        <v>59</v>
      </c>
      <c r="C668" s="30">
        <v>2025</v>
      </c>
      <c r="D668" s="8" t="s">
        <v>394</v>
      </c>
      <c r="E668" s="47"/>
      <c r="F668" s="47">
        <v>700</v>
      </c>
      <c r="G668" s="47">
        <f t="shared" si="14"/>
        <v>1514.21000000001</v>
      </c>
      <c r="H668" s="37"/>
      <c r="I668" s="37"/>
      <c r="J668" s="37"/>
      <c r="K668" s="37"/>
      <c r="L668" s="37"/>
      <c r="M668" s="37"/>
      <c r="N668" s="37"/>
      <c r="O668" s="37"/>
    </row>
    <row r="669" spans="1:44" x14ac:dyDescent="0.25">
      <c r="A669" s="6">
        <v>45898</v>
      </c>
      <c r="B669" s="30" t="s">
        <v>59</v>
      </c>
      <c r="C669" s="30">
        <v>2025</v>
      </c>
      <c r="D669" s="3" t="s">
        <v>346</v>
      </c>
      <c r="E669" s="47"/>
      <c r="F669" s="47">
        <v>2100</v>
      </c>
      <c r="G669" s="47">
        <f t="shared" si="14"/>
        <v>-585.78999999998996</v>
      </c>
      <c r="H669" s="37"/>
      <c r="I669" s="37"/>
      <c r="J669" s="37"/>
      <c r="K669" s="37"/>
      <c r="L669" s="37"/>
      <c r="M669" s="37"/>
      <c r="N669" s="37"/>
      <c r="O669" s="37"/>
    </row>
    <row r="670" spans="1:44" x14ac:dyDescent="0.25">
      <c r="A670" s="6">
        <v>45899</v>
      </c>
      <c r="B670" s="30" t="s">
        <v>59</v>
      </c>
      <c r="C670" s="30">
        <v>2025</v>
      </c>
      <c r="D670" s="8" t="s">
        <v>395</v>
      </c>
      <c r="E670" s="47"/>
      <c r="F670" s="47">
        <v>950</v>
      </c>
      <c r="G670" s="47">
        <f t="shared" si="14"/>
        <v>-1535.78999999999</v>
      </c>
      <c r="H670" s="37"/>
      <c r="I670" s="37"/>
      <c r="J670" s="37"/>
      <c r="K670" s="37"/>
      <c r="L670" s="37"/>
      <c r="M670" s="37"/>
      <c r="N670" s="37"/>
      <c r="O670" s="37"/>
    </row>
    <row r="671" spans="1:44" x14ac:dyDescent="0.25">
      <c r="A671" s="6">
        <v>45901</v>
      </c>
      <c r="B671" s="30" t="s">
        <v>109</v>
      </c>
      <c r="C671" s="30">
        <v>2025</v>
      </c>
      <c r="D671" s="8" t="s">
        <v>396</v>
      </c>
      <c r="E671" s="47"/>
      <c r="F671" s="47">
        <v>450</v>
      </c>
      <c r="G671" s="47">
        <f t="shared" si="14"/>
        <v>-1985.78999999999</v>
      </c>
      <c r="H671" s="37"/>
      <c r="I671" s="37"/>
      <c r="J671" s="37"/>
      <c r="K671" s="37"/>
      <c r="L671" s="37"/>
      <c r="M671" s="37"/>
      <c r="N671" s="37"/>
      <c r="O671" s="37"/>
    </row>
    <row r="672" spans="1:44" x14ac:dyDescent="0.25">
      <c r="A672" s="6">
        <v>45901</v>
      </c>
      <c r="B672" s="30" t="s">
        <v>109</v>
      </c>
      <c r="C672" s="30">
        <v>2025</v>
      </c>
      <c r="D672" s="8" t="s">
        <v>397</v>
      </c>
      <c r="E672" s="47"/>
      <c r="F672" s="47">
        <v>59.99</v>
      </c>
      <c r="G672" s="47">
        <f t="shared" si="14"/>
        <v>-2045.77999999999</v>
      </c>
      <c r="H672" s="37"/>
      <c r="I672" s="37"/>
      <c r="J672" s="37"/>
      <c r="K672" s="37"/>
      <c r="L672" s="37"/>
      <c r="M672" s="37"/>
      <c r="N672" s="37"/>
      <c r="O672" s="37"/>
    </row>
    <row r="673" spans="1:44" x14ac:dyDescent="0.25">
      <c r="A673" s="6">
        <v>45901</v>
      </c>
      <c r="B673" s="30" t="s">
        <v>109</v>
      </c>
      <c r="C673" s="30">
        <v>2025</v>
      </c>
      <c r="D673" s="8" t="s">
        <v>393</v>
      </c>
      <c r="E673" s="47"/>
      <c r="F673" s="47">
        <v>1570</v>
      </c>
      <c r="G673" s="47">
        <f t="shared" si="14"/>
        <v>-3615.7799999999897</v>
      </c>
      <c r="H673" s="37"/>
      <c r="I673" s="37"/>
      <c r="J673" s="37"/>
      <c r="K673" s="37"/>
      <c r="L673" s="37"/>
      <c r="M673" s="37"/>
      <c r="N673" s="37"/>
      <c r="O673" s="37"/>
    </row>
    <row r="674" spans="1:44" s="17" customFormat="1" x14ac:dyDescent="0.25">
      <c r="A674" s="6">
        <v>45898</v>
      </c>
      <c r="B674" s="30" t="s">
        <v>59</v>
      </c>
      <c r="C674" s="30">
        <v>2025</v>
      </c>
      <c r="D674" s="8" t="s">
        <v>398</v>
      </c>
      <c r="E674" s="47"/>
      <c r="F674" s="47">
        <v>600</v>
      </c>
      <c r="G674" s="47">
        <f t="shared" si="14"/>
        <v>-4215.7799999999897</v>
      </c>
      <c r="H674" s="37"/>
      <c r="I674" s="37"/>
      <c r="J674" s="37"/>
      <c r="K674" s="37"/>
      <c r="L674" s="37"/>
      <c r="M674" s="37"/>
      <c r="N674" s="37"/>
      <c r="O674" s="37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</row>
    <row r="675" spans="1:44" x14ac:dyDescent="0.25">
      <c r="A675" s="6">
        <v>45902</v>
      </c>
      <c r="B675" s="30" t="s">
        <v>109</v>
      </c>
      <c r="C675" s="30">
        <v>2025</v>
      </c>
      <c r="D675" s="8" t="s">
        <v>399</v>
      </c>
      <c r="E675" s="47"/>
      <c r="F675" s="47">
        <v>292.38</v>
      </c>
      <c r="G675" s="47">
        <f t="shared" si="14"/>
        <v>-4508.1599999999899</v>
      </c>
      <c r="H675" s="37"/>
      <c r="I675" s="37"/>
      <c r="J675" s="37"/>
      <c r="K675" s="37"/>
      <c r="L675" s="37"/>
      <c r="M675" s="37"/>
      <c r="N675" s="37"/>
      <c r="O675" s="37"/>
    </row>
    <row r="676" spans="1:44" x14ac:dyDescent="0.25">
      <c r="A676" s="6">
        <v>45901</v>
      </c>
      <c r="B676" s="30" t="s">
        <v>109</v>
      </c>
      <c r="C676" s="30">
        <v>2025</v>
      </c>
      <c r="D676" s="8" t="s">
        <v>400</v>
      </c>
      <c r="E676" s="47"/>
      <c r="F676" s="47">
        <v>1732</v>
      </c>
      <c r="G676" s="47">
        <f t="shared" si="14"/>
        <v>-6240.1599999999899</v>
      </c>
      <c r="H676" s="37"/>
      <c r="I676" s="37"/>
      <c r="J676" s="37"/>
      <c r="K676" s="37"/>
      <c r="L676" s="37"/>
      <c r="M676" s="37"/>
      <c r="N676" s="37"/>
      <c r="O676" s="37"/>
    </row>
    <row r="677" spans="1:44" s="17" customFormat="1" x14ac:dyDescent="0.25">
      <c r="A677" s="6">
        <v>45903</v>
      </c>
      <c r="B677" s="30" t="s">
        <v>109</v>
      </c>
      <c r="C677" s="30">
        <v>2025</v>
      </c>
      <c r="D677" s="72" t="s">
        <v>67</v>
      </c>
      <c r="E677" s="47">
        <v>10000</v>
      </c>
      <c r="F677" s="47"/>
      <c r="G677" s="47">
        <f t="shared" si="14"/>
        <v>3759.8400000000101</v>
      </c>
      <c r="H677" s="37"/>
      <c r="I677" s="37"/>
      <c r="J677" s="37"/>
      <c r="K677" s="37"/>
      <c r="L677" s="37"/>
      <c r="M677" s="37"/>
      <c r="N677" s="37"/>
      <c r="O677" s="37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</row>
    <row r="678" spans="1:44" x14ac:dyDescent="0.25">
      <c r="A678" s="6">
        <v>45903</v>
      </c>
      <c r="B678" s="30" t="s">
        <v>109</v>
      </c>
      <c r="C678" s="30">
        <v>2025</v>
      </c>
      <c r="D678" s="8" t="s">
        <v>401</v>
      </c>
      <c r="E678" s="47"/>
      <c r="F678" s="47">
        <v>679</v>
      </c>
      <c r="G678" s="47">
        <f t="shared" si="14"/>
        <v>3080.8400000000101</v>
      </c>
      <c r="H678" s="37"/>
      <c r="I678" s="37"/>
      <c r="J678" s="37"/>
      <c r="K678" s="37"/>
      <c r="L678" s="37"/>
      <c r="M678" s="37"/>
      <c r="N678" s="37"/>
      <c r="O678" s="37"/>
    </row>
    <row r="679" spans="1:44" x14ac:dyDescent="0.25">
      <c r="A679" s="6">
        <v>45903</v>
      </c>
      <c r="B679" s="30" t="s">
        <v>109</v>
      </c>
      <c r="C679" s="30">
        <v>2025</v>
      </c>
      <c r="D679" s="8" t="s">
        <v>402</v>
      </c>
      <c r="E679" s="47"/>
      <c r="F679" s="47">
        <v>350</v>
      </c>
      <c r="G679" s="47">
        <f t="shared" si="14"/>
        <v>2730.8400000000101</v>
      </c>
      <c r="H679" s="37"/>
      <c r="I679" s="37"/>
      <c r="J679" s="37"/>
      <c r="K679" s="37"/>
      <c r="L679" s="37"/>
      <c r="M679" s="37"/>
      <c r="N679" s="37"/>
      <c r="O679" s="37"/>
    </row>
    <row r="680" spans="1:44" x14ac:dyDescent="0.25">
      <c r="A680" s="6">
        <v>45903</v>
      </c>
      <c r="B680" s="30" t="s">
        <v>109</v>
      </c>
      <c r="C680" s="30">
        <v>2025</v>
      </c>
      <c r="D680" s="8" t="s">
        <v>403</v>
      </c>
      <c r="E680" s="47"/>
      <c r="F680" s="47">
        <v>350</v>
      </c>
      <c r="G680" s="47">
        <f t="shared" si="14"/>
        <v>2380.8400000000101</v>
      </c>
      <c r="H680" s="37"/>
      <c r="I680" s="37"/>
      <c r="J680" s="37"/>
      <c r="K680" s="37"/>
      <c r="L680" s="37"/>
      <c r="M680" s="37"/>
      <c r="N680" s="37"/>
      <c r="O680" s="37"/>
    </row>
    <row r="681" spans="1:44" s="17" customFormat="1" x14ac:dyDescent="0.25">
      <c r="A681" s="6">
        <v>45904</v>
      </c>
      <c r="B681" s="30" t="s">
        <v>109</v>
      </c>
      <c r="C681" s="30">
        <v>2025</v>
      </c>
      <c r="D681" s="8" t="s">
        <v>404</v>
      </c>
      <c r="E681" s="47"/>
      <c r="F681" s="47">
        <v>500</v>
      </c>
      <c r="G681" s="47">
        <f t="shared" si="14"/>
        <v>1880.8400000000101</v>
      </c>
      <c r="H681" s="37"/>
      <c r="I681" s="37"/>
      <c r="J681" s="37"/>
      <c r="K681" s="37"/>
      <c r="L681" s="37"/>
      <c r="M681" s="37"/>
      <c r="N681" s="37"/>
      <c r="O681" s="37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</row>
    <row r="682" spans="1:44" x14ac:dyDescent="0.25">
      <c r="A682" s="6">
        <v>45904</v>
      </c>
      <c r="B682" s="30" t="s">
        <v>109</v>
      </c>
      <c r="C682" s="30">
        <v>2025</v>
      </c>
      <c r="D682" s="8" t="s">
        <v>313</v>
      </c>
      <c r="E682" s="47"/>
      <c r="F682" s="47">
        <v>600</v>
      </c>
      <c r="G682" s="47">
        <f t="shared" si="14"/>
        <v>1280.8400000000101</v>
      </c>
      <c r="H682" s="37"/>
      <c r="I682" s="37"/>
      <c r="J682" s="37"/>
      <c r="K682" s="37"/>
      <c r="L682" s="37"/>
      <c r="M682" s="37"/>
      <c r="N682" s="37"/>
      <c r="O682" s="37"/>
    </row>
    <row r="683" spans="1:44" x14ac:dyDescent="0.25">
      <c r="A683" s="6">
        <v>45904</v>
      </c>
      <c r="B683" s="30" t="s">
        <v>109</v>
      </c>
      <c r="C683" s="30">
        <v>2025</v>
      </c>
      <c r="D683" s="8" t="s">
        <v>337</v>
      </c>
      <c r="E683" s="47"/>
      <c r="F683" s="47">
        <v>600</v>
      </c>
      <c r="G683" s="47">
        <f t="shared" si="14"/>
        <v>680.84000000001015</v>
      </c>
      <c r="H683" s="37"/>
      <c r="I683" s="37"/>
      <c r="J683" s="37"/>
      <c r="K683" s="37"/>
      <c r="L683" s="37"/>
      <c r="M683" s="37"/>
      <c r="N683" s="37"/>
      <c r="O683" s="37"/>
    </row>
    <row r="684" spans="1:44" x14ac:dyDescent="0.25">
      <c r="A684" s="6">
        <v>45904</v>
      </c>
      <c r="B684" s="30" t="s">
        <v>109</v>
      </c>
      <c r="C684" s="30">
        <v>2025</v>
      </c>
      <c r="D684" s="8" t="s">
        <v>405</v>
      </c>
      <c r="E684" s="47"/>
      <c r="F684" s="47">
        <v>600</v>
      </c>
      <c r="G684" s="47">
        <f t="shared" si="14"/>
        <v>80.84000000001015</v>
      </c>
      <c r="H684" s="37"/>
      <c r="I684" s="37"/>
      <c r="J684" s="37"/>
      <c r="K684" s="37"/>
      <c r="L684" s="37"/>
      <c r="M684" s="37"/>
      <c r="N684" s="37"/>
      <c r="O684" s="37"/>
    </row>
    <row r="685" spans="1:44" x14ac:dyDescent="0.25">
      <c r="A685" s="6">
        <v>45904</v>
      </c>
      <c r="B685" s="30" t="s">
        <v>109</v>
      </c>
      <c r="C685" s="30">
        <v>2025</v>
      </c>
      <c r="D685" s="8" t="s">
        <v>406</v>
      </c>
      <c r="E685" s="47"/>
      <c r="F685" s="47">
        <v>1800</v>
      </c>
      <c r="G685" s="47">
        <f t="shared" si="14"/>
        <v>-1719.1599999999899</v>
      </c>
      <c r="H685" s="37"/>
      <c r="I685" s="37"/>
      <c r="J685" s="37"/>
      <c r="K685" s="37"/>
      <c r="L685" s="37"/>
      <c r="M685" s="37"/>
      <c r="N685" s="37"/>
      <c r="O685" s="37"/>
    </row>
    <row r="686" spans="1:44" s="17" customFormat="1" x14ac:dyDescent="0.25">
      <c r="A686" s="6">
        <v>45904</v>
      </c>
      <c r="B686" s="30" t="s">
        <v>109</v>
      </c>
      <c r="C686" s="30">
        <v>2025</v>
      </c>
      <c r="D686" s="8" t="s">
        <v>401</v>
      </c>
      <c r="E686" s="47"/>
      <c r="F686" s="47">
        <v>250</v>
      </c>
      <c r="G686" s="47">
        <f t="shared" si="14"/>
        <v>-1969.1599999999899</v>
      </c>
      <c r="H686" s="37"/>
      <c r="I686" s="37"/>
      <c r="J686" s="37"/>
      <c r="K686" s="37"/>
      <c r="L686" s="37"/>
      <c r="M686" s="37"/>
      <c r="N686" s="37"/>
      <c r="O686" s="37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</row>
    <row r="687" spans="1:44" x14ac:dyDescent="0.25">
      <c r="A687" s="6">
        <v>45904</v>
      </c>
      <c r="B687" s="30" t="s">
        <v>109</v>
      </c>
      <c r="C687" s="30">
        <v>2025</v>
      </c>
      <c r="D687" s="3" t="s">
        <v>403</v>
      </c>
      <c r="F687" s="4">
        <v>300</v>
      </c>
      <c r="G687" s="49">
        <f t="shared" si="14"/>
        <v>-2269.1599999999899</v>
      </c>
    </row>
    <row r="688" spans="1:44" x14ac:dyDescent="0.25">
      <c r="A688" s="6">
        <v>45905</v>
      </c>
      <c r="B688" s="30" t="s">
        <v>109</v>
      </c>
      <c r="C688" s="30">
        <v>2025</v>
      </c>
      <c r="D688" s="3" t="s">
        <v>346</v>
      </c>
      <c r="F688" s="4">
        <v>2100</v>
      </c>
      <c r="G688" s="49">
        <f t="shared" si="14"/>
        <v>-4369.1599999999899</v>
      </c>
    </row>
    <row r="689" spans="1:44" x14ac:dyDescent="0.25">
      <c r="A689" s="6">
        <v>45905</v>
      </c>
      <c r="B689" s="30" t="s">
        <v>109</v>
      </c>
      <c r="C689" s="30">
        <v>2025</v>
      </c>
      <c r="D689" s="3" t="s">
        <v>393</v>
      </c>
      <c r="F689" s="4">
        <v>2500</v>
      </c>
      <c r="G689" s="49">
        <f t="shared" si="14"/>
        <v>-6869.1599999999899</v>
      </c>
    </row>
    <row r="690" spans="1:44" x14ac:dyDescent="0.25">
      <c r="A690" s="6">
        <v>45906</v>
      </c>
      <c r="B690" s="30" t="s">
        <v>109</v>
      </c>
      <c r="C690" s="30">
        <v>2025</v>
      </c>
      <c r="D690" s="8" t="s">
        <v>407</v>
      </c>
      <c r="F690" s="4">
        <v>300</v>
      </c>
      <c r="G690" s="49">
        <f t="shared" si="14"/>
        <v>-7169.1599999999899</v>
      </c>
    </row>
    <row r="691" spans="1:44" x14ac:dyDescent="0.25">
      <c r="A691" s="6">
        <v>45906</v>
      </c>
      <c r="B691" s="30" t="s">
        <v>109</v>
      </c>
      <c r="C691" s="30">
        <v>2025</v>
      </c>
      <c r="D691" s="3" t="s">
        <v>354</v>
      </c>
      <c r="F691" s="4">
        <v>300</v>
      </c>
      <c r="G691" s="49">
        <f t="shared" si="14"/>
        <v>-7469.1599999999899</v>
      </c>
    </row>
    <row r="692" spans="1:44" x14ac:dyDescent="0.25">
      <c r="A692" s="5">
        <v>45908</v>
      </c>
      <c r="B692" s="30" t="s">
        <v>109</v>
      </c>
      <c r="C692" s="30">
        <v>2025</v>
      </c>
      <c r="D692" s="3" t="s">
        <v>344</v>
      </c>
      <c r="F692" s="4">
        <v>570</v>
      </c>
      <c r="G692" s="49">
        <f t="shared" si="14"/>
        <v>-8039.1599999999899</v>
      </c>
    </row>
    <row r="693" spans="1:44" x14ac:dyDescent="0.25">
      <c r="A693" s="5">
        <v>45908</v>
      </c>
      <c r="B693" s="30" t="s">
        <v>109</v>
      </c>
      <c r="C693" s="30">
        <v>2025</v>
      </c>
      <c r="D693" s="3" t="s">
        <v>408</v>
      </c>
      <c r="F693" s="4">
        <v>350</v>
      </c>
      <c r="G693" s="49">
        <f t="shared" si="14"/>
        <v>-8389.1599999999889</v>
      </c>
    </row>
    <row r="694" spans="1:44" x14ac:dyDescent="0.25">
      <c r="A694" s="5">
        <v>45909</v>
      </c>
      <c r="B694" s="30" t="s">
        <v>109</v>
      </c>
      <c r="C694" s="30">
        <v>2025</v>
      </c>
      <c r="D694" s="3" t="s">
        <v>401</v>
      </c>
      <c r="F694" s="4">
        <v>320</v>
      </c>
      <c r="G694" s="49">
        <f t="shared" si="14"/>
        <v>-8709.1599999999889</v>
      </c>
    </row>
    <row r="695" spans="1:44" x14ac:dyDescent="0.25">
      <c r="A695" s="5">
        <v>45909</v>
      </c>
      <c r="B695" s="30" t="s">
        <v>109</v>
      </c>
      <c r="C695" s="30">
        <v>2025</v>
      </c>
      <c r="D695" s="3" t="s">
        <v>354</v>
      </c>
      <c r="F695" s="4">
        <v>600</v>
      </c>
      <c r="G695" s="49">
        <f t="shared" si="14"/>
        <v>-9309.1599999999889</v>
      </c>
    </row>
    <row r="696" spans="1:44" x14ac:dyDescent="0.25">
      <c r="A696" s="5">
        <v>45909</v>
      </c>
      <c r="B696" s="30" t="s">
        <v>109</v>
      </c>
      <c r="C696" s="30">
        <v>2025</v>
      </c>
      <c r="D696" s="72" t="s">
        <v>67</v>
      </c>
      <c r="E696" s="4">
        <v>20000</v>
      </c>
      <c r="G696" s="49">
        <f t="shared" si="14"/>
        <v>10690.840000000011</v>
      </c>
    </row>
    <row r="697" spans="1:44" x14ac:dyDescent="0.25">
      <c r="A697" s="5">
        <v>45911</v>
      </c>
      <c r="B697" s="30" t="s">
        <v>109</v>
      </c>
      <c r="C697" s="30">
        <v>2025</v>
      </c>
      <c r="D697" s="3" t="s">
        <v>374</v>
      </c>
      <c r="F697" s="4">
        <v>700</v>
      </c>
      <c r="G697" s="49">
        <f t="shared" si="14"/>
        <v>9990.8400000000111</v>
      </c>
    </row>
    <row r="698" spans="1:44" x14ac:dyDescent="0.25">
      <c r="A698" s="5">
        <v>45912</v>
      </c>
      <c r="B698" s="30" t="s">
        <v>109</v>
      </c>
      <c r="C698" s="30">
        <v>2025</v>
      </c>
      <c r="D698" s="3" t="s">
        <v>364</v>
      </c>
      <c r="F698" s="4">
        <v>1300</v>
      </c>
      <c r="G698" s="49">
        <f t="shared" si="14"/>
        <v>8690.8400000000111</v>
      </c>
    </row>
    <row r="699" spans="1:44" x14ac:dyDescent="0.25">
      <c r="A699" s="5">
        <v>45912</v>
      </c>
      <c r="B699" s="30" t="s">
        <v>109</v>
      </c>
      <c r="C699" s="30">
        <v>2025</v>
      </c>
      <c r="D699" s="3" t="s">
        <v>282</v>
      </c>
      <c r="F699" s="4">
        <v>866</v>
      </c>
      <c r="G699" s="49">
        <f t="shared" si="14"/>
        <v>7824.8400000000111</v>
      </c>
    </row>
    <row r="700" spans="1:44" x14ac:dyDescent="0.25">
      <c r="A700" s="5">
        <v>45912</v>
      </c>
      <c r="B700" s="30" t="s">
        <v>109</v>
      </c>
      <c r="C700" s="30">
        <v>2025</v>
      </c>
      <c r="D700" s="3" t="s">
        <v>352</v>
      </c>
      <c r="F700" s="4">
        <v>2520</v>
      </c>
      <c r="G700" s="49">
        <f t="shared" si="14"/>
        <v>5304.8400000000111</v>
      </c>
    </row>
    <row r="701" spans="1:44" s="17" customFormat="1" x14ac:dyDescent="0.25">
      <c r="A701" s="5">
        <v>45909</v>
      </c>
      <c r="B701" s="30" t="s">
        <v>109</v>
      </c>
      <c r="C701" s="30">
        <v>2025</v>
      </c>
      <c r="D701" s="8" t="s">
        <v>393</v>
      </c>
      <c r="E701" s="47"/>
      <c r="F701" s="47">
        <v>500</v>
      </c>
      <c r="G701" s="47">
        <f t="shared" si="14"/>
        <v>4804.8400000000111</v>
      </c>
      <c r="H701" s="37"/>
      <c r="I701" s="37"/>
      <c r="J701" s="37"/>
      <c r="K701" s="37"/>
      <c r="L701" s="37"/>
      <c r="M701" s="37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</row>
    <row r="702" spans="1:44" x14ac:dyDescent="0.25">
      <c r="A702" s="5">
        <v>45909</v>
      </c>
      <c r="B702" s="30" t="s">
        <v>109</v>
      </c>
      <c r="C702" s="30">
        <v>2025</v>
      </c>
      <c r="D702" s="8" t="s">
        <v>409</v>
      </c>
      <c r="F702" s="4">
        <v>3918</v>
      </c>
      <c r="G702" s="49">
        <f t="shared" si="14"/>
        <v>886.84000000001106</v>
      </c>
    </row>
    <row r="703" spans="1:44" x14ac:dyDescent="0.25">
      <c r="A703" s="5">
        <v>45915</v>
      </c>
      <c r="B703" s="30" t="s">
        <v>109</v>
      </c>
      <c r="C703" s="30">
        <v>2025</v>
      </c>
      <c r="D703" s="3" t="s">
        <v>393</v>
      </c>
      <c r="F703" s="4">
        <v>1600</v>
      </c>
      <c r="G703" s="49">
        <f t="shared" si="14"/>
        <v>-713.15999999998894</v>
      </c>
    </row>
    <row r="704" spans="1:44" x14ac:dyDescent="0.25">
      <c r="A704" s="5">
        <v>45916</v>
      </c>
      <c r="B704" s="30" t="s">
        <v>109</v>
      </c>
      <c r="C704" s="30">
        <v>2025</v>
      </c>
      <c r="D704" s="3" t="s">
        <v>410</v>
      </c>
      <c r="F704" s="4">
        <v>2158</v>
      </c>
      <c r="G704" s="49">
        <f t="shared" si="14"/>
        <v>-2871.1599999999889</v>
      </c>
    </row>
    <row r="705" spans="1:44" x14ac:dyDescent="0.25">
      <c r="A705" s="5">
        <v>45918</v>
      </c>
      <c r="B705" s="30" t="s">
        <v>109</v>
      </c>
      <c r="C705" s="30">
        <v>2025</v>
      </c>
      <c r="D705" s="3" t="s">
        <v>411</v>
      </c>
      <c r="F705" s="4">
        <v>320</v>
      </c>
      <c r="G705" s="49">
        <f t="shared" si="14"/>
        <v>-3191.1599999999889</v>
      </c>
    </row>
    <row r="706" spans="1:44" x14ac:dyDescent="0.25">
      <c r="A706" s="5">
        <v>45918</v>
      </c>
      <c r="B706" s="30" t="s">
        <v>109</v>
      </c>
      <c r="C706" s="30">
        <v>2025</v>
      </c>
      <c r="D706" s="3" t="s">
        <v>412</v>
      </c>
      <c r="F706" s="4">
        <v>285</v>
      </c>
      <c r="G706" s="49">
        <f t="shared" si="14"/>
        <v>-3476.1599999999889</v>
      </c>
    </row>
    <row r="707" spans="1:44" x14ac:dyDescent="0.25">
      <c r="A707" s="5">
        <v>45920</v>
      </c>
      <c r="B707" s="30" t="s">
        <v>109</v>
      </c>
      <c r="C707" s="30">
        <v>2025</v>
      </c>
      <c r="D707" s="3" t="s">
        <v>413</v>
      </c>
      <c r="F707" s="4">
        <v>1700</v>
      </c>
      <c r="G707" s="49">
        <f t="shared" si="14"/>
        <v>-5176.1599999999889</v>
      </c>
    </row>
    <row r="708" spans="1:44" x14ac:dyDescent="0.25">
      <c r="A708" s="5">
        <v>45922</v>
      </c>
      <c r="B708" s="30" t="s">
        <v>109</v>
      </c>
      <c r="C708" s="30">
        <v>2025</v>
      </c>
      <c r="D708" s="3" t="s">
        <v>414</v>
      </c>
      <c r="F708" s="4">
        <v>975</v>
      </c>
      <c r="G708" s="49">
        <f t="shared" si="14"/>
        <v>-6151.1599999999889</v>
      </c>
    </row>
    <row r="709" spans="1:44" x14ac:dyDescent="0.25">
      <c r="A709" s="5">
        <v>45924</v>
      </c>
      <c r="B709" s="30" t="s">
        <v>109</v>
      </c>
      <c r="C709" s="30">
        <v>2025</v>
      </c>
      <c r="D709" s="72" t="s">
        <v>67</v>
      </c>
      <c r="E709" s="4">
        <v>25000</v>
      </c>
      <c r="G709" s="49">
        <f t="shared" ref="G709:G720" si="15">G708+E709-F709</f>
        <v>18848.840000000011</v>
      </c>
    </row>
    <row r="710" spans="1:44" x14ac:dyDescent="0.25">
      <c r="A710" s="5">
        <v>45924</v>
      </c>
      <c r="B710" s="30" t="s">
        <v>109</v>
      </c>
      <c r="C710" s="30">
        <v>2025</v>
      </c>
      <c r="D710" s="3" t="s">
        <v>415</v>
      </c>
      <c r="F710" s="4">
        <v>2000</v>
      </c>
      <c r="G710" s="49">
        <f t="shared" si="15"/>
        <v>16848.840000000011</v>
      </c>
    </row>
    <row r="711" spans="1:44" x14ac:dyDescent="0.25">
      <c r="A711" s="5">
        <v>45925</v>
      </c>
      <c r="B711" s="30" t="s">
        <v>109</v>
      </c>
      <c r="C711" s="30">
        <v>2025</v>
      </c>
      <c r="D711" s="3" t="s">
        <v>416</v>
      </c>
      <c r="F711" s="4">
        <v>1118.2</v>
      </c>
      <c r="G711" s="49">
        <f t="shared" si="15"/>
        <v>15730.64000000001</v>
      </c>
    </row>
    <row r="712" spans="1:44" x14ac:dyDescent="0.25">
      <c r="A712" s="5">
        <v>45925</v>
      </c>
      <c r="B712" s="30" t="s">
        <v>109</v>
      </c>
      <c r="C712" s="30">
        <v>2025</v>
      </c>
      <c r="D712" s="3" t="s">
        <v>417</v>
      </c>
      <c r="F712" s="4">
        <v>150</v>
      </c>
      <c r="G712" s="49">
        <f t="shared" si="15"/>
        <v>15580.64000000001</v>
      </c>
    </row>
    <row r="713" spans="1:44" x14ac:dyDescent="0.25">
      <c r="A713" s="5">
        <v>45925</v>
      </c>
      <c r="B713" s="30" t="s">
        <v>109</v>
      </c>
      <c r="C713" s="30">
        <v>2025</v>
      </c>
      <c r="D713" s="3" t="s">
        <v>418</v>
      </c>
      <c r="F713" s="4">
        <v>707.22</v>
      </c>
      <c r="G713" s="49">
        <f t="shared" si="15"/>
        <v>14873.420000000011</v>
      </c>
    </row>
    <row r="714" spans="1:44" x14ac:dyDescent="0.25">
      <c r="A714" s="5">
        <v>45925</v>
      </c>
      <c r="B714" s="30" t="s">
        <v>109</v>
      </c>
      <c r="C714" s="30">
        <v>2025</v>
      </c>
      <c r="D714" s="3" t="s">
        <v>419</v>
      </c>
      <c r="F714" s="4">
        <v>83.75</v>
      </c>
      <c r="G714" s="49">
        <f t="shared" si="15"/>
        <v>14789.670000000011</v>
      </c>
    </row>
    <row r="715" spans="1:44" s="17" customFormat="1" x14ac:dyDescent="0.25">
      <c r="A715" s="5">
        <v>45925</v>
      </c>
      <c r="B715" s="30" t="s">
        <v>109</v>
      </c>
      <c r="C715" s="30">
        <v>2025</v>
      </c>
      <c r="D715" s="3" t="s">
        <v>419</v>
      </c>
      <c r="E715" s="47"/>
      <c r="F715" s="47">
        <v>275.35000000000002</v>
      </c>
      <c r="G715" s="47">
        <f t="shared" si="15"/>
        <v>14514.320000000011</v>
      </c>
      <c r="H715" s="37"/>
      <c r="I715" s="37"/>
      <c r="J715" s="37"/>
      <c r="K715" s="37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</row>
    <row r="716" spans="1:44" x14ac:dyDescent="0.25">
      <c r="A716" s="5">
        <v>45925</v>
      </c>
      <c r="B716" s="30" t="s">
        <v>109</v>
      </c>
      <c r="C716" s="30">
        <v>2025</v>
      </c>
      <c r="D716" s="3" t="s">
        <v>419</v>
      </c>
      <c r="E716" s="47"/>
      <c r="F716" s="47">
        <v>843</v>
      </c>
      <c r="G716" s="47">
        <f t="shared" si="15"/>
        <v>13671.320000000011</v>
      </c>
      <c r="H716" s="37"/>
      <c r="I716" s="37"/>
      <c r="J716" s="37"/>
      <c r="K716" s="37"/>
    </row>
    <row r="717" spans="1:44" x14ac:dyDescent="0.25">
      <c r="A717" s="5">
        <v>45925</v>
      </c>
      <c r="B717" s="30" t="s">
        <v>109</v>
      </c>
      <c r="C717" s="30">
        <v>2025</v>
      </c>
      <c r="D717" s="20" t="s">
        <v>426</v>
      </c>
      <c r="F717" s="4">
        <v>7500</v>
      </c>
      <c r="G717" s="49">
        <f t="shared" si="15"/>
        <v>6171.3200000000106</v>
      </c>
    </row>
    <row r="718" spans="1:44" x14ac:dyDescent="0.25">
      <c r="A718" s="5">
        <v>45925</v>
      </c>
      <c r="B718" s="30" t="s">
        <v>109</v>
      </c>
      <c r="C718" s="30">
        <v>2025</v>
      </c>
      <c r="D718" s="3" t="s">
        <v>420</v>
      </c>
      <c r="F718" s="4">
        <v>300</v>
      </c>
      <c r="G718" s="49">
        <f t="shared" si="15"/>
        <v>5871.3200000000106</v>
      </c>
    </row>
    <row r="719" spans="1:44" x14ac:dyDescent="0.25">
      <c r="A719" s="5">
        <v>45926</v>
      </c>
      <c r="B719" s="30" t="s">
        <v>109</v>
      </c>
      <c r="C719" s="30">
        <v>2025</v>
      </c>
      <c r="D719" s="3" t="s">
        <v>421</v>
      </c>
      <c r="F719" s="4">
        <v>1400</v>
      </c>
      <c r="G719" s="49">
        <f t="shared" si="15"/>
        <v>4471.3200000000106</v>
      </c>
    </row>
    <row r="720" spans="1:44" x14ac:dyDescent="0.25">
      <c r="A720" s="5">
        <v>45926</v>
      </c>
      <c r="B720" s="30" t="s">
        <v>109</v>
      </c>
      <c r="C720" s="30">
        <v>2025</v>
      </c>
      <c r="D720" s="3" t="s">
        <v>422</v>
      </c>
      <c r="F720" s="4">
        <v>120</v>
      </c>
      <c r="G720" s="49">
        <f t="shared" si="15"/>
        <v>4351.3200000000106</v>
      </c>
    </row>
    <row r="721" spans="1:44" s="17" customFormat="1" x14ac:dyDescent="0.25">
      <c r="A721" s="5">
        <v>45927</v>
      </c>
      <c r="B721" s="30" t="s">
        <v>109</v>
      </c>
      <c r="C721" s="30">
        <v>2025</v>
      </c>
      <c r="D721" s="8" t="s">
        <v>423</v>
      </c>
      <c r="E721" s="47"/>
      <c r="F721" s="47">
        <v>1480</v>
      </c>
      <c r="G721" s="47">
        <f>G720+E721-F721</f>
        <v>2871.3200000000106</v>
      </c>
      <c r="H721" s="37"/>
      <c r="I721" s="37"/>
      <c r="J721" s="37"/>
      <c r="K721" s="37"/>
      <c r="L721" s="37"/>
      <c r="M721" s="37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</row>
    <row r="722" spans="1:44" x14ac:dyDescent="0.25">
      <c r="A722" s="5">
        <v>45929</v>
      </c>
      <c r="B722" s="30" t="s">
        <v>109</v>
      </c>
      <c r="C722" s="30">
        <v>2025</v>
      </c>
      <c r="D722" s="8" t="s">
        <v>424</v>
      </c>
      <c r="F722" s="4">
        <v>1000</v>
      </c>
      <c r="G722" s="49">
        <f t="shared" ref="G722:G772" si="16">G721+E722-F722</f>
        <v>1871.3200000000106</v>
      </c>
    </row>
    <row r="723" spans="1:44" x14ac:dyDescent="0.25">
      <c r="A723" s="5">
        <v>45930</v>
      </c>
      <c r="B723" s="30" t="s">
        <v>109</v>
      </c>
      <c r="C723" s="30">
        <v>2025</v>
      </c>
      <c r="D723" s="3" t="s">
        <v>425</v>
      </c>
      <c r="F723" s="9">
        <v>385</v>
      </c>
      <c r="G723" s="49">
        <f t="shared" si="16"/>
        <v>1486.3200000000106</v>
      </c>
    </row>
    <row r="724" spans="1:44" x14ac:dyDescent="0.25">
      <c r="A724" s="5">
        <v>45930</v>
      </c>
      <c r="B724" s="30" t="s">
        <v>109</v>
      </c>
      <c r="C724" s="30">
        <v>2025</v>
      </c>
      <c r="D724" s="3" t="s">
        <v>427</v>
      </c>
      <c r="F724" s="9">
        <v>250</v>
      </c>
      <c r="G724" s="49">
        <f t="shared" si="16"/>
        <v>1236.3200000000106</v>
      </c>
    </row>
    <row r="725" spans="1:44" x14ac:dyDescent="0.25">
      <c r="A725" s="5">
        <v>45927</v>
      </c>
      <c r="B725" s="30" t="s">
        <v>109</v>
      </c>
      <c r="C725" s="30">
        <v>2025</v>
      </c>
      <c r="D725" s="3" t="s">
        <v>428</v>
      </c>
      <c r="F725" s="9">
        <v>475</v>
      </c>
      <c r="G725" s="49">
        <f t="shared" si="16"/>
        <v>761.32000000001062</v>
      </c>
    </row>
    <row r="726" spans="1:44" x14ac:dyDescent="0.25">
      <c r="A726" s="5">
        <v>45931</v>
      </c>
      <c r="B726" s="30" t="s">
        <v>154</v>
      </c>
      <c r="C726" s="30">
        <v>2025</v>
      </c>
      <c r="D726" s="3" t="s">
        <v>429</v>
      </c>
      <c r="F726" s="9">
        <v>128</v>
      </c>
      <c r="G726" s="49">
        <f t="shared" si="16"/>
        <v>633.32000000001062</v>
      </c>
    </row>
    <row r="727" spans="1:44" x14ac:dyDescent="0.25">
      <c r="A727" s="5">
        <v>45931</v>
      </c>
      <c r="B727" s="30" t="s">
        <v>154</v>
      </c>
      <c r="C727" s="30">
        <v>2025</v>
      </c>
      <c r="D727" s="3" t="s">
        <v>430</v>
      </c>
      <c r="F727" s="9">
        <v>2355</v>
      </c>
      <c r="G727" s="49">
        <f t="shared" si="16"/>
        <v>-1721.6799999999894</v>
      </c>
    </row>
    <row r="728" spans="1:44" x14ac:dyDescent="0.25">
      <c r="A728" s="5">
        <v>45932</v>
      </c>
      <c r="B728" s="30" t="s">
        <v>154</v>
      </c>
      <c r="C728" s="30">
        <v>2025</v>
      </c>
      <c r="D728" s="3" t="s">
        <v>364</v>
      </c>
      <c r="F728" s="9">
        <v>1100</v>
      </c>
      <c r="G728" s="49">
        <f t="shared" si="16"/>
        <v>-2821.6799999999894</v>
      </c>
    </row>
    <row r="729" spans="1:44" x14ac:dyDescent="0.25">
      <c r="A729" s="5">
        <v>45932</v>
      </c>
      <c r="B729" s="30" t="s">
        <v>154</v>
      </c>
      <c r="C729" s="30">
        <v>2025</v>
      </c>
      <c r="D729" s="3" t="s">
        <v>431</v>
      </c>
      <c r="F729" s="9">
        <v>290</v>
      </c>
      <c r="G729" s="49">
        <f t="shared" si="16"/>
        <v>-3111.6799999999894</v>
      </c>
    </row>
    <row r="730" spans="1:44" x14ac:dyDescent="0.25">
      <c r="A730" s="5">
        <v>45933</v>
      </c>
      <c r="B730" s="30" t="s">
        <v>154</v>
      </c>
      <c r="C730" s="30">
        <v>2025</v>
      </c>
      <c r="D730" s="3" t="s">
        <v>432</v>
      </c>
      <c r="F730" s="9">
        <v>810</v>
      </c>
      <c r="G730" s="49">
        <f t="shared" si="16"/>
        <v>-3921.6799999999894</v>
      </c>
    </row>
    <row r="731" spans="1:44" x14ac:dyDescent="0.25">
      <c r="A731" s="5">
        <v>45936</v>
      </c>
      <c r="B731" s="30" t="s">
        <v>154</v>
      </c>
      <c r="C731" s="30">
        <v>2025</v>
      </c>
      <c r="D731" s="72" t="s">
        <v>67</v>
      </c>
      <c r="E731" s="4">
        <v>8000</v>
      </c>
      <c r="F731" s="9"/>
      <c r="G731" s="49">
        <f t="shared" si="16"/>
        <v>4078.3200000000106</v>
      </c>
    </row>
    <row r="732" spans="1:44" x14ac:dyDescent="0.25">
      <c r="A732" s="5">
        <v>45936</v>
      </c>
      <c r="B732" s="30" t="s">
        <v>154</v>
      </c>
      <c r="C732" s="30">
        <v>2025</v>
      </c>
      <c r="D732" s="3" t="s">
        <v>352</v>
      </c>
      <c r="F732" s="9">
        <v>2520</v>
      </c>
      <c r="G732" s="49">
        <f t="shared" si="16"/>
        <v>1558.3200000000106</v>
      </c>
    </row>
    <row r="733" spans="1:44" x14ac:dyDescent="0.25">
      <c r="A733" s="5">
        <v>45937</v>
      </c>
      <c r="B733" s="30" t="s">
        <v>154</v>
      </c>
      <c r="C733" s="30">
        <v>2025</v>
      </c>
      <c r="D733" s="3" t="s">
        <v>433</v>
      </c>
      <c r="F733" s="9">
        <v>3000</v>
      </c>
      <c r="G733" s="49">
        <f t="shared" si="16"/>
        <v>-1441.6799999999894</v>
      </c>
    </row>
    <row r="734" spans="1:44" x14ac:dyDescent="0.25">
      <c r="A734" s="5">
        <v>45938</v>
      </c>
      <c r="B734" s="30" t="s">
        <v>154</v>
      </c>
      <c r="C734" s="30">
        <v>2025</v>
      </c>
      <c r="D734" s="3" t="s">
        <v>401</v>
      </c>
      <c r="F734" s="9">
        <v>360</v>
      </c>
      <c r="G734" s="49">
        <f t="shared" si="16"/>
        <v>-1801.6799999999894</v>
      </c>
    </row>
    <row r="735" spans="1:44" x14ac:dyDescent="0.25">
      <c r="A735" s="5">
        <v>45939</v>
      </c>
      <c r="B735" s="30" t="s">
        <v>154</v>
      </c>
      <c r="C735" s="30">
        <v>2025</v>
      </c>
      <c r="D735" s="3" t="s">
        <v>434</v>
      </c>
      <c r="F735" s="9">
        <v>100</v>
      </c>
      <c r="G735" s="49">
        <f t="shared" si="16"/>
        <v>-1901.6799999999894</v>
      </c>
    </row>
    <row r="736" spans="1:44" x14ac:dyDescent="0.25">
      <c r="A736" s="5">
        <v>45938</v>
      </c>
      <c r="B736" s="30" t="s">
        <v>154</v>
      </c>
      <c r="C736" s="30">
        <v>2025</v>
      </c>
      <c r="D736" s="3" t="s">
        <v>435</v>
      </c>
      <c r="F736" s="9">
        <v>500</v>
      </c>
      <c r="G736" s="49">
        <f t="shared" si="16"/>
        <v>-2401.6799999999894</v>
      </c>
    </row>
    <row r="737" spans="1:44" x14ac:dyDescent="0.25">
      <c r="A737" s="5">
        <v>45937</v>
      </c>
      <c r="B737" s="30" t="s">
        <v>154</v>
      </c>
      <c r="C737" s="30">
        <v>2025</v>
      </c>
      <c r="D737" s="3" t="s">
        <v>436</v>
      </c>
      <c r="F737" s="9">
        <v>293</v>
      </c>
      <c r="G737" s="49">
        <f t="shared" si="16"/>
        <v>-2694.6799999999894</v>
      </c>
    </row>
    <row r="738" spans="1:44" s="17" customFormat="1" x14ac:dyDescent="0.25">
      <c r="A738" s="6">
        <v>45940</v>
      </c>
      <c r="B738" s="30" t="s">
        <v>154</v>
      </c>
      <c r="C738" s="30">
        <v>2025</v>
      </c>
      <c r="D738" s="8" t="s">
        <v>437</v>
      </c>
      <c r="E738" s="47"/>
      <c r="F738" s="47">
        <v>600</v>
      </c>
      <c r="G738" s="47">
        <f t="shared" si="16"/>
        <v>-3294.6799999999894</v>
      </c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</row>
    <row r="739" spans="1:44" x14ac:dyDescent="0.25">
      <c r="A739" s="6">
        <v>45940</v>
      </c>
      <c r="B739" s="30" t="s">
        <v>154</v>
      </c>
      <c r="C739" s="30">
        <v>2025</v>
      </c>
      <c r="D739" s="3" t="s">
        <v>401</v>
      </c>
      <c r="F739" s="9">
        <v>130</v>
      </c>
      <c r="G739" s="49">
        <f t="shared" si="16"/>
        <v>-3424.6799999999894</v>
      </c>
    </row>
    <row r="740" spans="1:44" x14ac:dyDescent="0.25">
      <c r="A740" s="6">
        <v>45940</v>
      </c>
      <c r="B740" s="30" t="s">
        <v>154</v>
      </c>
      <c r="C740" s="30">
        <v>2025</v>
      </c>
      <c r="D740" s="3" t="s">
        <v>438</v>
      </c>
      <c r="F740" s="9">
        <v>125</v>
      </c>
      <c r="G740" s="49">
        <f t="shared" si="16"/>
        <v>-3549.6799999999894</v>
      </c>
    </row>
    <row r="741" spans="1:44" x14ac:dyDescent="0.25">
      <c r="A741" s="6">
        <v>45940</v>
      </c>
      <c r="B741" s="30" t="s">
        <v>154</v>
      </c>
      <c r="C741" s="30">
        <v>2025</v>
      </c>
      <c r="D741" s="3" t="s">
        <v>421</v>
      </c>
      <c r="F741" s="4">
        <v>350</v>
      </c>
      <c r="G741" s="49">
        <f t="shared" si="16"/>
        <v>-3899.6799999999894</v>
      </c>
    </row>
    <row r="742" spans="1:44" x14ac:dyDescent="0.25">
      <c r="A742" s="5">
        <v>45943</v>
      </c>
      <c r="B742" s="30" t="s">
        <v>154</v>
      </c>
      <c r="C742" s="30">
        <v>2025</v>
      </c>
      <c r="D742" s="3" t="s">
        <v>352</v>
      </c>
      <c r="F742" s="4">
        <v>2520</v>
      </c>
      <c r="G742" s="49">
        <f t="shared" si="16"/>
        <v>-6419.6799999999894</v>
      </c>
    </row>
    <row r="743" spans="1:44" x14ac:dyDescent="0.25">
      <c r="A743" s="5">
        <v>45944</v>
      </c>
      <c r="B743" s="30" t="s">
        <v>154</v>
      </c>
      <c r="C743" s="30">
        <v>2025</v>
      </c>
      <c r="D743" s="3" t="s">
        <v>439</v>
      </c>
      <c r="F743" s="4">
        <v>600</v>
      </c>
      <c r="G743" s="49">
        <f t="shared" si="16"/>
        <v>-7019.6799999999894</v>
      </c>
    </row>
    <row r="744" spans="1:44" x14ac:dyDescent="0.25">
      <c r="A744" s="5">
        <v>45944</v>
      </c>
      <c r="B744" s="30" t="s">
        <v>154</v>
      </c>
      <c r="C744" s="30">
        <v>2025</v>
      </c>
      <c r="D744" s="72" t="s">
        <v>67</v>
      </c>
      <c r="E744" s="4">
        <v>15000</v>
      </c>
      <c r="G744" s="49">
        <f t="shared" si="16"/>
        <v>7980.3200000000106</v>
      </c>
    </row>
    <row r="745" spans="1:44" x14ac:dyDescent="0.25">
      <c r="A745" s="5">
        <v>45945</v>
      </c>
      <c r="B745" s="30" t="s">
        <v>154</v>
      </c>
      <c r="C745" s="30">
        <v>2025</v>
      </c>
      <c r="D745" s="3" t="s">
        <v>440</v>
      </c>
      <c r="F745" s="4">
        <v>900</v>
      </c>
      <c r="G745" s="49">
        <f t="shared" si="16"/>
        <v>7080.3200000000106</v>
      </c>
    </row>
    <row r="746" spans="1:44" x14ac:dyDescent="0.25">
      <c r="A746" s="5">
        <v>45946</v>
      </c>
      <c r="B746" s="30" t="s">
        <v>154</v>
      </c>
      <c r="C746" s="30">
        <v>2025</v>
      </c>
      <c r="D746" s="3" t="s">
        <v>441</v>
      </c>
      <c r="F746" s="4">
        <v>2047</v>
      </c>
      <c r="G746" s="49">
        <f t="shared" si="16"/>
        <v>5033.3200000000106</v>
      </c>
    </row>
    <row r="747" spans="1:44" x14ac:dyDescent="0.25">
      <c r="A747" s="5">
        <v>45948</v>
      </c>
      <c r="B747" s="30" t="s">
        <v>154</v>
      </c>
      <c r="C747" s="30">
        <v>2025</v>
      </c>
      <c r="D747" s="3" t="s">
        <v>442</v>
      </c>
      <c r="F747" s="4">
        <v>455</v>
      </c>
      <c r="G747" s="49">
        <f t="shared" si="16"/>
        <v>4578.3200000000106</v>
      </c>
    </row>
    <row r="748" spans="1:44" x14ac:dyDescent="0.25">
      <c r="A748" s="5">
        <v>45948</v>
      </c>
      <c r="B748" s="30" t="s">
        <v>154</v>
      </c>
      <c r="C748" s="30">
        <v>2025</v>
      </c>
      <c r="D748" s="3" t="s">
        <v>435</v>
      </c>
      <c r="F748" s="4">
        <v>500</v>
      </c>
      <c r="G748" s="49">
        <f t="shared" si="16"/>
        <v>4078.3200000000106</v>
      </c>
    </row>
    <row r="749" spans="1:44" x14ac:dyDescent="0.25">
      <c r="A749" s="5">
        <v>45950</v>
      </c>
      <c r="B749" s="30" t="s">
        <v>154</v>
      </c>
      <c r="C749" s="30">
        <v>2025</v>
      </c>
      <c r="D749" s="3" t="s">
        <v>352</v>
      </c>
      <c r="F749" s="4">
        <v>2520</v>
      </c>
      <c r="G749" s="49">
        <f t="shared" si="16"/>
        <v>1558.3200000000106</v>
      </c>
    </row>
    <row r="750" spans="1:44" x14ac:dyDescent="0.25">
      <c r="A750" s="5">
        <v>45951</v>
      </c>
      <c r="B750" s="30" t="s">
        <v>154</v>
      </c>
      <c r="C750" s="30">
        <v>2025</v>
      </c>
      <c r="D750" s="3" t="s">
        <v>443</v>
      </c>
      <c r="F750" s="4">
        <v>1372</v>
      </c>
      <c r="G750" s="49">
        <f t="shared" si="16"/>
        <v>186.32000000001062</v>
      </c>
    </row>
    <row r="751" spans="1:44" x14ac:dyDescent="0.25">
      <c r="A751" s="5">
        <v>45953</v>
      </c>
      <c r="B751" s="30" t="s">
        <v>154</v>
      </c>
      <c r="C751" s="30">
        <v>2025</v>
      </c>
      <c r="D751" s="72" t="s">
        <v>67</v>
      </c>
      <c r="E751" s="4">
        <v>10000</v>
      </c>
      <c r="G751" s="49">
        <f t="shared" si="16"/>
        <v>10186.320000000011</v>
      </c>
    </row>
    <row r="752" spans="1:44" x14ac:dyDescent="0.25">
      <c r="A752" s="5">
        <v>45954</v>
      </c>
      <c r="B752" s="30" t="s">
        <v>154</v>
      </c>
      <c r="C752" s="30">
        <v>2025</v>
      </c>
      <c r="D752" s="72" t="s">
        <v>67</v>
      </c>
      <c r="E752" s="4">
        <v>10000</v>
      </c>
      <c r="G752" s="49">
        <f t="shared" si="16"/>
        <v>20186.320000000011</v>
      </c>
    </row>
    <row r="753" spans="1:44" s="17" customFormat="1" x14ac:dyDescent="0.25">
      <c r="A753" s="5">
        <v>45954</v>
      </c>
      <c r="B753" s="30" t="s">
        <v>154</v>
      </c>
      <c r="C753" s="30">
        <v>2025</v>
      </c>
      <c r="D753" s="8" t="s">
        <v>444</v>
      </c>
      <c r="E753" s="47"/>
      <c r="F753" s="47">
        <v>5000</v>
      </c>
      <c r="G753" s="47">
        <f t="shared" si="16"/>
        <v>15186.320000000011</v>
      </c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</row>
    <row r="754" spans="1:44" x14ac:dyDescent="0.25">
      <c r="A754" s="5">
        <v>45957</v>
      </c>
      <c r="B754" s="30" t="s">
        <v>154</v>
      </c>
      <c r="C754" s="30">
        <v>2025</v>
      </c>
      <c r="D754" s="3" t="s">
        <v>352</v>
      </c>
      <c r="F754" s="4">
        <v>2520</v>
      </c>
      <c r="G754" s="49">
        <f t="shared" si="16"/>
        <v>12666.320000000011</v>
      </c>
    </row>
    <row r="755" spans="1:44" x14ac:dyDescent="0.25">
      <c r="A755" s="5">
        <v>45954</v>
      </c>
      <c r="B755" s="30" t="s">
        <v>154</v>
      </c>
      <c r="C755" s="30">
        <v>2025</v>
      </c>
      <c r="D755" s="3" t="s">
        <v>445</v>
      </c>
      <c r="F755" s="4">
        <v>130</v>
      </c>
      <c r="G755" s="49">
        <f t="shared" si="16"/>
        <v>12536.320000000011</v>
      </c>
    </row>
    <row r="756" spans="1:44" x14ac:dyDescent="0.25">
      <c r="A756" s="5">
        <v>45951</v>
      </c>
      <c r="B756" s="30" t="s">
        <v>154</v>
      </c>
      <c r="C756" s="30">
        <v>2025</v>
      </c>
      <c r="D756" s="3" t="s">
        <v>446</v>
      </c>
      <c r="F756" s="4">
        <v>120</v>
      </c>
      <c r="G756" s="49">
        <f t="shared" si="16"/>
        <v>12416.320000000011</v>
      </c>
    </row>
    <row r="757" spans="1:44" x14ac:dyDescent="0.25">
      <c r="A757" s="5">
        <v>45957</v>
      </c>
      <c r="B757" s="30" t="s">
        <v>154</v>
      </c>
      <c r="C757" s="30">
        <v>2025</v>
      </c>
      <c r="D757" s="3" t="s">
        <v>447</v>
      </c>
      <c r="F757" s="4">
        <v>6006</v>
      </c>
      <c r="G757" s="49">
        <f t="shared" si="16"/>
        <v>6410.3200000000106</v>
      </c>
    </row>
    <row r="758" spans="1:44" x14ac:dyDescent="0.25">
      <c r="A758" s="5">
        <v>45961</v>
      </c>
      <c r="B758" s="30" t="s">
        <v>154</v>
      </c>
      <c r="C758" s="30">
        <v>2025</v>
      </c>
      <c r="D758" s="3" t="s">
        <v>447</v>
      </c>
      <c r="F758" s="4">
        <v>606.39</v>
      </c>
      <c r="G758" s="49">
        <f t="shared" si="16"/>
        <v>5803.9300000000103</v>
      </c>
    </row>
    <row r="759" spans="1:44" x14ac:dyDescent="0.25">
      <c r="A759" s="5">
        <v>45958</v>
      </c>
      <c r="B759" s="30" t="s">
        <v>154</v>
      </c>
      <c r="C759" s="30">
        <v>2025</v>
      </c>
      <c r="D759" s="3" t="s">
        <v>448</v>
      </c>
      <c r="F759" s="4">
        <v>1000</v>
      </c>
      <c r="G759" s="49">
        <f t="shared" si="16"/>
        <v>4803.9300000000103</v>
      </c>
    </row>
    <row r="760" spans="1:44" x14ac:dyDescent="0.25">
      <c r="A760" s="5">
        <v>45958</v>
      </c>
      <c r="B760" s="30" t="s">
        <v>154</v>
      </c>
      <c r="C760" s="30">
        <v>2025</v>
      </c>
      <c r="D760" s="3" t="s">
        <v>448</v>
      </c>
      <c r="F760" s="4">
        <v>3600</v>
      </c>
      <c r="G760" s="49">
        <f t="shared" si="16"/>
        <v>1203.9300000000103</v>
      </c>
    </row>
    <row r="761" spans="1:44" x14ac:dyDescent="0.25">
      <c r="A761" s="5">
        <v>45957</v>
      </c>
      <c r="B761" s="30" t="s">
        <v>154</v>
      </c>
      <c r="C761" s="30">
        <v>2025</v>
      </c>
      <c r="D761" s="3" t="s">
        <v>449</v>
      </c>
      <c r="F761" s="4">
        <v>1215</v>
      </c>
      <c r="G761" s="49">
        <f t="shared" si="16"/>
        <v>-11.069999999989705</v>
      </c>
    </row>
    <row r="762" spans="1:44" x14ac:dyDescent="0.25">
      <c r="A762" s="5">
        <v>45957</v>
      </c>
      <c r="B762" s="30" t="s">
        <v>154</v>
      </c>
      <c r="C762" s="30">
        <v>2025</v>
      </c>
      <c r="D762" s="3" t="s">
        <v>449</v>
      </c>
      <c r="F762" s="4">
        <v>2480</v>
      </c>
      <c r="G762" s="49">
        <f t="shared" si="16"/>
        <v>-2491.0699999999897</v>
      </c>
    </row>
    <row r="763" spans="1:44" x14ac:dyDescent="0.25">
      <c r="A763" s="5">
        <v>45958</v>
      </c>
      <c r="B763" s="30" t="s">
        <v>154</v>
      </c>
      <c r="C763" s="30">
        <v>2025</v>
      </c>
      <c r="D763" s="3" t="s">
        <v>449</v>
      </c>
      <c r="F763" s="4">
        <v>397</v>
      </c>
      <c r="G763" s="49">
        <f t="shared" si="16"/>
        <v>-2888.0699999999897</v>
      </c>
    </row>
    <row r="764" spans="1:44" x14ac:dyDescent="0.25">
      <c r="A764" s="5">
        <v>45958</v>
      </c>
      <c r="B764" s="30" t="s">
        <v>154</v>
      </c>
      <c r="C764" s="30">
        <v>2025</v>
      </c>
      <c r="D764" s="3" t="s">
        <v>449</v>
      </c>
      <c r="F764" s="4">
        <v>290</v>
      </c>
      <c r="G764" s="49">
        <f t="shared" si="16"/>
        <v>-3178.0699999999897</v>
      </c>
    </row>
    <row r="765" spans="1:44" x14ac:dyDescent="0.25">
      <c r="A765" s="5">
        <v>45958</v>
      </c>
      <c r="B765" s="30" t="s">
        <v>154</v>
      </c>
      <c r="C765" s="30">
        <v>2025</v>
      </c>
      <c r="D765" s="3" t="s">
        <v>450</v>
      </c>
      <c r="F765" s="4">
        <v>100</v>
      </c>
      <c r="G765" s="49">
        <f t="shared" si="16"/>
        <v>-3278.0699999999897</v>
      </c>
    </row>
    <row r="766" spans="1:44" x14ac:dyDescent="0.25">
      <c r="A766" s="5">
        <v>45958</v>
      </c>
      <c r="B766" s="30" t="s">
        <v>154</v>
      </c>
      <c r="C766" s="30">
        <v>2025</v>
      </c>
      <c r="D766" s="3" t="s">
        <v>449</v>
      </c>
      <c r="F766" s="4">
        <v>2040</v>
      </c>
      <c r="G766" s="49">
        <f t="shared" si="16"/>
        <v>-5318.0699999999897</v>
      </c>
    </row>
    <row r="767" spans="1:44" x14ac:dyDescent="0.25">
      <c r="A767" s="5">
        <v>45960</v>
      </c>
      <c r="B767" s="30" t="s">
        <v>154</v>
      </c>
      <c r="C767" s="30">
        <v>2025</v>
      </c>
      <c r="D767" s="3" t="s">
        <v>449</v>
      </c>
      <c r="F767" s="4">
        <v>2170</v>
      </c>
      <c r="G767" s="49">
        <f t="shared" si="16"/>
        <v>-7488.0699999999897</v>
      </c>
    </row>
    <row r="768" spans="1:44" s="17" customFormat="1" x14ac:dyDescent="0.25">
      <c r="A768" s="5">
        <v>45960</v>
      </c>
      <c r="B768" s="30" t="s">
        <v>154</v>
      </c>
      <c r="C768" s="30">
        <v>2025</v>
      </c>
      <c r="D768" s="3" t="s">
        <v>449</v>
      </c>
      <c r="E768" s="47"/>
      <c r="F768" s="47">
        <v>230</v>
      </c>
      <c r="G768" s="47">
        <f t="shared" si="16"/>
        <v>-7718.0699999999897</v>
      </c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</row>
    <row r="769" spans="1:44" x14ac:dyDescent="0.25">
      <c r="A769" s="5">
        <v>45960</v>
      </c>
      <c r="B769" s="30" t="s">
        <v>154</v>
      </c>
      <c r="C769" s="30">
        <v>2025</v>
      </c>
      <c r="D769" s="3" t="s">
        <v>449</v>
      </c>
      <c r="F769" s="4">
        <v>410</v>
      </c>
      <c r="G769" s="49">
        <f t="shared" si="16"/>
        <v>-8128.0699999999897</v>
      </c>
    </row>
    <row r="770" spans="1:44" x14ac:dyDescent="0.25">
      <c r="A770" s="5">
        <v>45961</v>
      </c>
      <c r="B770" s="30" t="s">
        <v>154</v>
      </c>
      <c r="C770" s="30">
        <v>2025</v>
      </c>
      <c r="D770" s="72" t="s">
        <v>67</v>
      </c>
      <c r="E770" s="4">
        <v>15000</v>
      </c>
      <c r="G770" s="49">
        <f t="shared" si="16"/>
        <v>6871.9300000000103</v>
      </c>
    </row>
    <row r="771" spans="1:44" x14ac:dyDescent="0.25">
      <c r="A771" s="5">
        <v>45961</v>
      </c>
      <c r="B771" s="30" t="s">
        <v>154</v>
      </c>
      <c r="C771" s="30">
        <v>2025</v>
      </c>
      <c r="D771" s="3" t="s">
        <v>411</v>
      </c>
      <c r="F771" s="4">
        <v>340</v>
      </c>
      <c r="G771" s="49">
        <f t="shared" si="16"/>
        <v>6531.9300000000103</v>
      </c>
    </row>
    <row r="772" spans="1:44" x14ac:dyDescent="0.25">
      <c r="A772" s="5">
        <v>45962</v>
      </c>
      <c r="B772" s="30" t="s">
        <v>170</v>
      </c>
      <c r="C772" s="30">
        <v>2025</v>
      </c>
      <c r="D772" s="3" t="s">
        <v>451</v>
      </c>
      <c r="F772" s="4">
        <v>200</v>
      </c>
      <c r="G772" s="49">
        <f t="shared" si="16"/>
        <v>6331.9300000000103</v>
      </c>
    </row>
    <row r="773" spans="1:44" x14ac:dyDescent="0.25">
      <c r="A773" s="5">
        <v>45962</v>
      </c>
      <c r="B773" s="30" t="s">
        <v>170</v>
      </c>
      <c r="C773" s="30">
        <v>2025</v>
      </c>
      <c r="D773" s="3" t="s">
        <v>411</v>
      </c>
      <c r="F773" s="4">
        <v>395</v>
      </c>
      <c r="G773" s="49">
        <f t="shared" ref="G773:G842" si="17">G772+E773-F773</f>
        <v>5936.9300000000103</v>
      </c>
    </row>
    <row r="774" spans="1:44" x14ac:dyDescent="0.25">
      <c r="A774" s="5">
        <v>45964</v>
      </c>
      <c r="B774" s="30" t="s">
        <v>170</v>
      </c>
      <c r="C774" s="30">
        <v>2025</v>
      </c>
      <c r="D774" s="3" t="s">
        <v>452</v>
      </c>
      <c r="F774" s="4">
        <v>2598</v>
      </c>
      <c r="G774" s="49">
        <f t="shared" si="17"/>
        <v>3338.9300000000103</v>
      </c>
    </row>
    <row r="775" spans="1:44" s="16" customFormat="1" x14ac:dyDescent="0.25">
      <c r="A775" s="5">
        <v>45964</v>
      </c>
      <c r="B775" s="30" t="s">
        <v>170</v>
      </c>
      <c r="C775" s="30">
        <v>2025</v>
      </c>
      <c r="D775" s="3" t="s">
        <v>352</v>
      </c>
      <c r="E775" s="9"/>
      <c r="F775" s="9">
        <v>2520</v>
      </c>
      <c r="G775" s="47">
        <f t="shared" si="17"/>
        <v>818.9300000000103</v>
      </c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</row>
    <row r="776" spans="1:44" s="17" customFormat="1" x14ac:dyDescent="0.25">
      <c r="A776" s="5">
        <v>45965</v>
      </c>
      <c r="B776" s="30" t="s">
        <v>170</v>
      </c>
      <c r="C776" s="30">
        <v>2025</v>
      </c>
      <c r="D776" s="8" t="s">
        <v>338</v>
      </c>
      <c r="E776" s="47"/>
      <c r="F776" s="47">
        <v>305</v>
      </c>
      <c r="G776" s="47">
        <f t="shared" si="17"/>
        <v>513.9300000000103</v>
      </c>
      <c r="H776" s="37"/>
      <c r="I776" s="37"/>
      <c r="J776" s="37"/>
      <c r="K776" s="37"/>
      <c r="L776" s="37"/>
      <c r="M776" s="37"/>
      <c r="N776" s="37"/>
      <c r="O776" s="37"/>
      <c r="P776" s="37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</row>
    <row r="777" spans="1:44" x14ac:dyDescent="0.25">
      <c r="A777" s="5">
        <v>45965</v>
      </c>
      <c r="B777" s="30" t="s">
        <v>170</v>
      </c>
      <c r="C777" s="30">
        <v>2025</v>
      </c>
      <c r="D777" s="3" t="s">
        <v>453</v>
      </c>
      <c r="F777" s="4">
        <v>883</v>
      </c>
      <c r="G777" s="49">
        <f t="shared" si="17"/>
        <v>-369.0699999999897</v>
      </c>
    </row>
    <row r="778" spans="1:44" x14ac:dyDescent="0.25">
      <c r="A778" s="5">
        <v>45965</v>
      </c>
      <c r="B778" s="30" t="s">
        <v>170</v>
      </c>
      <c r="C778" s="30">
        <v>2025</v>
      </c>
      <c r="D778" s="3" t="s">
        <v>454</v>
      </c>
      <c r="F778" s="4">
        <v>115</v>
      </c>
      <c r="G778" s="49">
        <f t="shared" si="17"/>
        <v>-484.0699999999897</v>
      </c>
    </row>
    <row r="779" spans="1:44" x14ac:dyDescent="0.25">
      <c r="A779" s="5">
        <v>45964</v>
      </c>
      <c r="B779" s="30" t="s">
        <v>170</v>
      </c>
      <c r="C779" s="30">
        <v>2025</v>
      </c>
      <c r="D779" s="3" t="s">
        <v>455</v>
      </c>
      <c r="F779" s="4">
        <v>150</v>
      </c>
      <c r="G779" s="49">
        <f t="shared" si="17"/>
        <v>-634.0699999999897</v>
      </c>
    </row>
    <row r="780" spans="1:44" x14ac:dyDescent="0.25">
      <c r="A780" s="5">
        <v>45965</v>
      </c>
      <c r="B780" s="30" t="s">
        <v>170</v>
      </c>
      <c r="C780" s="30">
        <v>2025</v>
      </c>
      <c r="D780" s="3" t="s">
        <v>456</v>
      </c>
      <c r="F780" s="4">
        <v>380</v>
      </c>
      <c r="G780" s="49">
        <f t="shared" si="17"/>
        <v>-1014.0699999999897</v>
      </c>
    </row>
    <row r="781" spans="1:44" x14ac:dyDescent="0.25">
      <c r="A781" s="5">
        <v>45965</v>
      </c>
      <c r="B781" s="30" t="s">
        <v>170</v>
      </c>
      <c r="C781" s="30">
        <v>2025</v>
      </c>
      <c r="D781" s="3" t="s">
        <v>457</v>
      </c>
      <c r="F781" s="4">
        <v>1800</v>
      </c>
      <c r="G781" s="49">
        <f t="shared" si="17"/>
        <v>-2814.0699999999897</v>
      </c>
    </row>
    <row r="782" spans="1:44" x14ac:dyDescent="0.25">
      <c r="A782" s="5">
        <v>45965</v>
      </c>
      <c r="B782" s="30" t="s">
        <v>170</v>
      </c>
      <c r="C782" s="30">
        <v>2025</v>
      </c>
      <c r="D782" s="3" t="s">
        <v>457</v>
      </c>
      <c r="F782" s="4">
        <v>1000</v>
      </c>
      <c r="G782" s="49">
        <f t="shared" si="17"/>
        <v>-3814.0699999999897</v>
      </c>
    </row>
    <row r="783" spans="1:44" x14ac:dyDescent="0.25">
      <c r="A783" s="5">
        <v>45966</v>
      </c>
      <c r="B783" s="30" t="s">
        <v>170</v>
      </c>
      <c r="C783" s="30">
        <v>2025</v>
      </c>
      <c r="D783" s="3" t="s">
        <v>458</v>
      </c>
      <c r="F783" s="4">
        <v>6269</v>
      </c>
      <c r="G783" s="49">
        <f t="shared" si="17"/>
        <v>-10083.069999999989</v>
      </c>
    </row>
    <row r="784" spans="1:44" x14ac:dyDescent="0.25">
      <c r="A784" s="5">
        <v>45966</v>
      </c>
      <c r="B784" s="30" t="s">
        <v>170</v>
      </c>
      <c r="C784" s="30">
        <v>2025</v>
      </c>
      <c r="D784" s="3" t="s">
        <v>459</v>
      </c>
      <c r="F784" s="4">
        <v>810.72</v>
      </c>
      <c r="G784" s="49">
        <f t="shared" si="17"/>
        <v>-10893.789999999988</v>
      </c>
    </row>
    <row r="785" spans="1:44" s="17" customFormat="1" x14ac:dyDescent="0.25">
      <c r="A785" s="5">
        <v>45967</v>
      </c>
      <c r="B785" s="30" t="s">
        <v>170</v>
      </c>
      <c r="C785" s="30">
        <v>2025</v>
      </c>
      <c r="D785" s="3" t="s">
        <v>460</v>
      </c>
      <c r="E785" s="47"/>
      <c r="F785" s="47">
        <v>1770</v>
      </c>
      <c r="G785" s="47">
        <f t="shared" si="17"/>
        <v>-12663.789999999988</v>
      </c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</row>
    <row r="786" spans="1:44" x14ac:dyDescent="0.25">
      <c r="A786" s="5">
        <v>45968</v>
      </c>
      <c r="B786" s="30" t="s">
        <v>170</v>
      </c>
      <c r="C786" s="30">
        <v>2025</v>
      </c>
      <c r="D786" s="3" t="s">
        <v>460</v>
      </c>
      <c r="F786" s="4">
        <v>2670</v>
      </c>
      <c r="G786" s="49">
        <f t="shared" si="17"/>
        <v>-15333.789999999988</v>
      </c>
    </row>
    <row r="787" spans="1:44" x14ac:dyDescent="0.25">
      <c r="A787" s="5">
        <v>45968</v>
      </c>
      <c r="B787" s="30" t="s">
        <v>170</v>
      </c>
      <c r="C787" s="30">
        <v>2025</v>
      </c>
      <c r="D787" s="72" t="s">
        <v>67</v>
      </c>
      <c r="E787" s="4">
        <v>20000</v>
      </c>
      <c r="G787" s="49">
        <f t="shared" si="17"/>
        <v>4666.2100000000119</v>
      </c>
    </row>
    <row r="788" spans="1:44" x14ac:dyDescent="0.25">
      <c r="A788" s="5">
        <v>45968</v>
      </c>
      <c r="B788" s="30" t="s">
        <v>170</v>
      </c>
      <c r="C788" s="30">
        <v>2025</v>
      </c>
      <c r="D788" s="3" t="s">
        <v>461</v>
      </c>
      <c r="F788" s="4">
        <v>840</v>
      </c>
      <c r="G788" s="49">
        <f t="shared" si="17"/>
        <v>3826.2100000000119</v>
      </c>
    </row>
    <row r="789" spans="1:44" x14ac:dyDescent="0.25">
      <c r="A789" s="5">
        <v>45969</v>
      </c>
      <c r="B789" s="30" t="s">
        <v>170</v>
      </c>
      <c r="C789" s="30">
        <v>2025</v>
      </c>
      <c r="D789" s="3" t="s">
        <v>462</v>
      </c>
      <c r="F789" s="4">
        <v>600</v>
      </c>
      <c r="G789" s="49">
        <f t="shared" si="17"/>
        <v>3226.2100000000119</v>
      </c>
    </row>
    <row r="790" spans="1:44" x14ac:dyDescent="0.25">
      <c r="A790" s="5">
        <v>45971</v>
      </c>
      <c r="B790" s="30" t="s">
        <v>170</v>
      </c>
      <c r="C790" s="30">
        <v>2025</v>
      </c>
      <c r="D790" s="3" t="s">
        <v>352</v>
      </c>
      <c r="E790" s="47"/>
      <c r="F790" s="47">
        <v>2520</v>
      </c>
      <c r="G790" s="49">
        <f t="shared" si="17"/>
        <v>706.21000000001186</v>
      </c>
    </row>
    <row r="791" spans="1:44" x14ac:dyDescent="0.25">
      <c r="A791" s="5">
        <v>45972</v>
      </c>
      <c r="B791" s="30" t="s">
        <v>170</v>
      </c>
      <c r="C791" s="30">
        <v>2025</v>
      </c>
      <c r="D791" s="3" t="s">
        <v>463</v>
      </c>
      <c r="F791" s="4">
        <v>600</v>
      </c>
      <c r="G791" s="49">
        <f t="shared" si="17"/>
        <v>106.21000000001186</v>
      </c>
    </row>
    <row r="792" spans="1:44" x14ac:dyDescent="0.25">
      <c r="A792" s="5">
        <v>45967</v>
      </c>
      <c r="B792" s="30" t="s">
        <v>170</v>
      </c>
      <c r="C792" s="30">
        <v>2025</v>
      </c>
      <c r="D792" s="8" t="s">
        <v>464</v>
      </c>
      <c r="F792" s="4">
        <v>115</v>
      </c>
      <c r="G792" s="49">
        <f t="shared" si="17"/>
        <v>-8.7899999999881402</v>
      </c>
    </row>
    <row r="793" spans="1:44" x14ac:dyDescent="0.25">
      <c r="A793" s="5">
        <v>45971</v>
      </c>
      <c r="B793" s="30" t="s">
        <v>170</v>
      </c>
      <c r="C793" s="30">
        <v>2025</v>
      </c>
      <c r="D793" s="3" t="s">
        <v>465</v>
      </c>
      <c r="F793" s="4">
        <v>450</v>
      </c>
      <c r="G793" s="49">
        <f t="shared" si="17"/>
        <v>-458.78999999998814</v>
      </c>
    </row>
    <row r="794" spans="1:44" s="17" customFormat="1" x14ac:dyDescent="0.25">
      <c r="A794" s="6">
        <v>45973</v>
      </c>
      <c r="B794" s="30" t="s">
        <v>170</v>
      </c>
      <c r="C794" s="30">
        <v>2025</v>
      </c>
      <c r="D794" s="8" t="s">
        <v>466</v>
      </c>
      <c r="E794" s="47"/>
      <c r="F794" s="47">
        <v>600</v>
      </c>
      <c r="G794" s="47">
        <f t="shared" si="17"/>
        <v>-1058.7899999999881</v>
      </c>
      <c r="H794" s="37"/>
      <c r="I794" s="37"/>
      <c r="J794" s="37"/>
      <c r="K794" s="37"/>
      <c r="L794" s="37"/>
      <c r="M794" s="37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</row>
    <row r="795" spans="1:44" x14ac:dyDescent="0.25">
      <c r="A795" s="5">
        <v>45975</v>
      </c>
      <c r="B795" s="30" t="s">
        <v>170</v>
      </c>
      <c r="C795" s="30">
        <v>2025</v>
      </c>
      <c r="D795" s="23" t="s">
        <v>467</v>
      </c>
      <c r="E795" s="4">
        <v>10000</v>
      </c>
      <c r="G795" s="49">
        <f t="shared" si="17"/>
        <v>8941.2100000000119</v>
      </c>
    </row>
    <row r="796" spans="1:44" x14ac:dyDescent="0.25">
      <c r="A796" s="5">
        <v>45978</v>
      </c>
      <c r="B796" s="30" t="s">
        <v>170</v>
      </c>
      <c r="C796" s="30">
        <v>2025</v>
      </c>
      <c r="D796" s="3" t="s">
        <v>469</v>
      </c>
      <c r="F796" s="4">
        <v>858.7</v>
      </c>
      <c r="G796" s="49">
        <f t="shared" si="17"/>
        <v>8082.510000000012</v>
      </c>
    </row>
    <row r="797" spans="1:44" x14ac:dyDescent="0.25">
      <c r="A797" s="5">
        <v>45978</v>
      </c>
      <c r="B797" s="30" t="s">
        <v>170</v>
      </c>
      <c r="C797" s="30">
        <v>2025</v>
      </c>
      <c r="D797" s="3" t="s">
        <v>468</v>
      </c>
      <c r="F797" s="4">
        <v>250</v>
      </c>
      <c r="G797" s="49">
        <f t="shared" si="17"/>
        <v>7832.510000000012</v>
      </c>
    </row>
    <row r="798" spans="1:44" x14ac:dyDescent="0.25">
      <c r="A798" s="5">
        <v>45979</v>
      </c>
      <c r="B798" s="30" t="s">
        <v>170</v>
      </c>
      <c r="C798" s="30">
        <v>2025</v>
      </c>
      <c r="D798" s="3" t="s">
        <v>470</v>
      </c>
      <c r="F798" s="4">
        <v>100</v>
      </c>
      <c r="G798" s="49">
        <f t="shared" si="17"/>
        <v>7732.510000000012</v>
      </c>
    </row>
    <row r="799" spans="1:44" x14ac:dyDescent="0.25">
      <c r="A799" s="5">
        <v>45979</v>
      </c>
      <c r="B799" s="30" t="s">
        <v>170</v>
      </c>
      <c r="C799" s="30">
        <v>2025</v>
      </c>
      <c r="D799" s="3" t="s">
        <v>471</v>
      </c>
      <c r="F799" s="4">
        <v>83</v>
      </c>
      <c r="G799" s="49">
        <f t="shared" si="17"/>
        <v>7649.510000000012</v>
      </c>
    </row>
    <row r="800" spans="1:44" x14ac:dyDescent="0.25">
      <c r="A800" s="5">
        <v>45979</v>
      </c>
      <c r="B800" s="30" t="s">
        <v>170</v>
      </c>
      <c r="C800" s="30">
        <v>2025</v>
      </c>
      <c r="D800" s="3" t="s">
        <v>472</v>
      </c>
      <c r="F800" s="4">
        <v>957.44</v>
      </c>
      <c r="G800" s="49">
        <f t="shared" si="17"/>
        <v>6692.0700000000124</v>
      </c>
    </row>
    <row r="801" spans="1:44" x14ac:dyDescent="0.25">
      <c r="A801" s="5">
        <v>45979</v>
      </c>
      <c r="B801" s="30" t="s">
        <v>170</v>
      </c>
      <c r="C801" s="30">
        <v>2025</v>
      </c>
      <c r="D801" s="8" t="s">
        <v>473</v>
      </c>
      <c r="F801" s="4">
        <v>1000</v>
      </c>
      <c r="G801" s="49">
        <f t="shared" si="17"/>
        <v>5692.0700000000124</v>
      </c>
    </row>
    <row r="802" spans="1:44" x14ac:dyDescent="0.25">
      <c r="A802" s="5">
        <v>45979</v>
      </c>
      <c r="B802" s="30" t="s">
        <v>170</v>
      </c>
      <c r="C802" s="30">
        <v>2025</v>
      </c>
      <c r="D802" s="3" t="s">
        <v>474</v>
      </c>
      <c r="F802" s="4">
        <v>10800</v>
      </c>
      <c r="G802" s="49">
        <f t="shared" si="17"/>
        <v>-5107.9299999999876</v>
      </c>
    </row>
    <row r="803" spans="1:44" x14ac:dyDescent="0.25">
      <c r="A803" s="5">
        <v>45978</v>
      </c>
      <c r="B803" s="30" t="s">
        <v>170</v>
      </c>
      <c r="C803" s="30">
        <v>2025</v>
      </c>
      <c r="D803" s="3" t="s">
        <v>352</v>
      </c>
      <c r="F803" s="4">
        <v>2520</v>
      </c>
      <c r="G803" s="49">
        <f t="shared" si="17"/>
        <v>-7627.9299999999876</v>
      </c>
    </row>
    <row r="804" spans="1:44" s="17" customFormat="1" x14ac:dyDescent="0.25">
      <c r="A804" s="5">
        <v>45979</v>
      </c>
      <c r="B804" s="30" t="s">
        <v>170</v>
      </c>
      <c r="C804" s="30">
        <v>2025</v>
      </c>
      <c r="D804" s="8" t="s">
        <v>475</v>
      </c>
      <c r="E804" s="47"/>
      <c r="F804" s="47">
        <v>200</v>
      </c>
      <c r="G804" s="47">
        <f t="shared" si="17"/>
        <v>-7827.9299999999876</v>
      </c>
      <c r="H804" s="37"/>
      <c r="I804" s="37"/>
      <c r="J804" s="37"/>
      <c r="K804" s="37"/>
      <c r="L804" s="37"/>
      <c r="M804" s="37"/>
      <c r="N804" s="37"/>
      <c r="O804" s="37"/>
      <c r="P804" s="37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</row>
    <row r="805" spans="1:44" x14ac:dyDescent="0.25">
      <c r="A805" s="5">
        <v>45981</v>
      </c>
      <c r="B805" s="30" t="s">
        <v>170</v>
      </c>
      <c r="C805" s="30">
        <v>2025</v>
      </c>
      <c r="D805" s="8" t="s">
        <v>476</v>
      </c>
      <c r="F805" s="4">
        <v>370</v>
      </c>
      <c r="G805" s="49">
        <f t="shared" si="17"/>
        <v>-8197.9299999999876</v>
      </c>
    </row>
    <row r="806" spans="1:44" x14ac:dyDescent="0.25">
      <c r="A806" s="5">
        <v>45982</v>
      </c>
      <c r="B806" s="30" t="s">
        <v>170</v>
      </c>
      <c r="C806" s="30">
        <v>2025</v>
      </c>
      <c r="D806" s="3" t="s">
        <v>477</v>
      </c>
      <c r="F806" s="4">
        <v>180</v>
      </c>
      <c r="G806" s="49">
        <f t="shared" si="17"/>
        <v>-8377.9299999999876</v>
      </c>
    </row>
    <row r="807" spans="1:44" x14ac:dyDescent="0.25">
      <c r="A807" s="5">
        <v>45982</v>
      </c>
      <c r="B807" s="30" t="s">
        <v>170</v>
      </c>
      <c r="C807" s="30">
        <v>2025</v>
      </c>
      <c r="D807" s="3" t="s">
        <v>478</v>
      </c>
      <c r="F807" s="4">
        <v>424.08</v>
      </c>
      <c r="G807" s="49">
        <f t="shared" si="17"/>
        <v>-8802.0099999999875</v>
      </c>
    </row>
    <row r="808" spans="1:44" x14ac:dyDescent="0.25">
      <c r="A808" s="5">
        <v>45983</v>
      </c>
      <c r="B808" s="30" t="s">
        <v>170</v>
      </c>
      <c r="C808" s="30">
        <v>2025</v>
      </c>
      <c r="D808" s="3" t="s">
        <v>479</v>
      </c>
      <c r="F808" s="4">
        <v>1100</v>
      </c>
      <c r="G808" s="49">
        <f t="shared" si="17"/>
        <v>-9902.0099999999875</v>
      </c>
    </row>
    <row r="809" spans="1:44" x14ac:dyDescent="0.25">
      <c r="A809" s="5">
        <v>45985</v>
      </c>
      <c r="B809" s="30" t="s">
        <v>170</v>
      </c>
      <c r="C809" s="30">
        <v>2025</v>
      </c>
      <c r="D809" s="3" t="s">
        <v>480</v>
      </c>
      <c r="F809" s="4">
        <v>170</v>
      </c>
      <c r="G809" s="49">
        <f t="shared" si="17"/>
        <v>-10072.009999999987</v>
      </c>
    </row>
    <row r="810" spans="1:44" x14ac:dyDescent="0.25">
      <c r="A810" s="5">
        <v>45985</v>
      </c>
      <c r="B810" s="30" t="s">
        <v>170</v>
      </c>
      <c r="C810" s="30">
        <v>2025</v>
      </c>
      <c r="D810" s="3" t="s">
        <v>352</v>
      </c>
      <c r="F810" s="4">
        <v>2520</v>
      </c>
      <c r="G810" s="49">
        <f t="shared" si="17"/>
        <v>-12592.009999999987</v>
      </c>
    </row>
    <row r="811" spans="1:44" x14ac:dyDescent="0.25">
      <c r="A811" s="5">
        <v>45987</v>
      </c>
      <c r="B811" s="30" t="s">
        <v>170</v>
      </c>
      <c r="C811" s="30">
        <v>2025</v>
      </c>
      <c r="D811" s="72" t="s">
        <v>67</v>
      </c>
      <c r="E811" s="4">
        <v>20000</v>
      </c>
      <c r="G811" s="49">
        <f t="shared" si="17"/>
        <v>7407.9900000000125</v>
      </c>
    </row>
    <row r="812" spans="1:44" x14ac:dyDescent="0.25">
      <c r="A812" s="5">
        <v>45984</v>
      </c>
      <c r="B812" s="30" t="s">
        <v>170</v>
      </c>
      <c r="C812" s="30">
        <v>2025</v>
      </c>
      <c r="D812" s="3" t="s">
        <v>481</v>
      </c>
      <c r="F812" s="4">
        <v>1100</v>
      </c>
      <c r="G812" s="49">
        <f t="shared" si="17"/>
        <v>6307.9900000000125</v>
      </c>
    </row>
    <row r="813" spans="1:44" s="17" customFormat="1" x14ac:dyDescent="0.25">
      <c r="A813" s="6">
        <v>45986</v>
      </c>
      <c r="B813" s="30" t="s">
        <v>170</v>
      </c>
      <c r="C813" s="30">
        <v>2025</v>
      </c>
      <c r="D813" s="8" t="s">
        <v>449</v>
      </c>
      <c r="E813" s="47"/>
      <c r="F813" s="47">
        <v>1550</v>
      </c>
      <c r="G813" s="47">
        <f t="shared" si="17"/>
        <v>4757.9900000000125</v>
      </c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</row>
    <row r="814" spans="1:44" s="16" customFormat="1" x14ac:dyDescent="0.25">
      <c r="A814" s="6">
        <v>45989</v>
      </c>
      <c r="B814" s="30" t="s">
        <v>170</v>
      </c>
      <c r="C814" s="30">
        <v>2025</v>
      </c>
      <c r="D814" s="8" t="s">
        <v>482</v>
      </c>
      <c r="E814" s="9"/>
      <c r="F814" s="9">
        <v>850</v>
      </c>
      <c r="G814" s="47">
        <f>G813+E814-F814</f>
        <v>3907.9900000000125</v>
      </c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</row>
    <row r="815" spans="1:44" s="16" customFormat="1" x14ac:dyDescent="0.25">
      <c r="A815" s="6">
        <v>45992</v>
      </c>
      <c r="B815" s="30" t="s">
        <v>189</v>
      </c>
      <c r="C815" s="30">
        <v>2025</v>
      </c>
      <c r="D815" s="3" t="s">
        <v>435</v>
      </c>
      <c r="E815" s="9"/>
      <c r="F815" s="9">
        <v>500</v>
      </c>
      <c r="G815" s="47">
        <f>G814+E815-F815</f>
        <v>3407.9900000000125</v>
      </c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</row>
    <row r="816" spans="1:44" s="16" customFormat="1" x14ac:dyDescent="0.25">
      <c r="A816" s="6">
        <v>45992</v>
      </c>
      <c r="B816" s="30" t="s">
        <v>189</v>
      </c>
      <c r="C816" s="30">
        <v>2025</v>
      </c>
      <c r="D816" s="3" t="s">
        <v>352</v>
      </c>
      <c r="E816" s="9"/>
      <c r="F816" s="9">
        <v>2520</v>
      </c>
      <c r="G816" s="47">
        <f>G815+E816-F816</f>
        <v>887.99000000001251</v>
      </c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</row>
    <row r="817" spans="1:44" x14ac:dyDescent="0.25">
      <c r="A817" s="6">
        <v>45992</v>
      </c>
      <c r="B817" s="30" t="s">
        <v>189</v>
      </c>
      <c r="C817" s="30">
        <v>2025</v>
      </c>
      <c r="D817" s="3" t="s">
        <v>483</v>
      </c>
      <c r="F817" s="4">
        <v>300</v>
      </c>
      <c r="G817" s="47">
        <f t="shared" si="17"/>
        <v>587.99000000001251</v>
      </c>
    </row>
    <row r="818" spans="1:44" x14ac:dyDescent="0.25">
      <c r="A818" s="5">
        <v>45995</v>
      </c>
      <c r="B818" s="30" t="s">
        <v>189</v>
      </c>
      <c r="C818" s="30">
        <v>2025</v>
      </c>
      <c r="D818" s="3" t="s">
        <v>484</v>
      </c>
      <c r="F818" s="4">
        <v>415</v>
      </c>
      <c r="G818" s="47">
        <f t="shared" si="17"/>
        <v>172.99000000001251</v>
      </c>
    </row>
    <row r="819" spans="1:44" x14ac:dyDescent="0.25">
      <c r="A819" s="5">
        <v>45995</v>
      </c>
      <c r="B819" s="30" t="s">
        <v>189</v>
      </c>
      <c r="C819" s="30">
        <v>2025</v>
      </c>
      <c r="D819" s="3" t="s">
        <v>485</v>
      </c>
      <c r="F819" s="4">
        <v>170</v>
      </c>
      <c r="G819" s="47">
        <f t="shared" si="17"/>
        <v>2.9900000000125146</v>
      </c>
    </row>
    <row r="820" spans="1:44" x14ac:dyDescent="0.25">
      <c r="A820" s="5">
        <v>45996</v>
      </c>
      <c r="B820" s="30" t="s">
        <v>189</v>
      </c>
      <c r="C820" s="30">
        <v>2025</v>
      </c>
      <c r="D820" s="3" t="s">
        <v>486</v>
      </c>
      <c r="F820" s="4">
        <v>980</v>
      </c>
      <c r="G820" s="47">
        <f t="shared" si="17"/>
        <v>-977.00999999998749</v>
      </c>
    </row>
    <row r="821" spans="1:44" s="17" customFormat="1" x14ac:dyDescent="0.25">
      <c r="A821" s="5">
        <v>45996</v>
      </c>
      <c r="B821" s="30" t="s">
        <v>189</v>
      </c>
      <c r="C821" s="30">
        <v>2025</v>
      </c>
      <c r="D821" s="72" t="s">
        <v>67</v>
      </c>
      <c r="E821" s="47">
        <v>10000</v>
      </c>
      <c r="F821" s="47"/>
      <c r="G821" s="47">
        <f t="shared" si="17"/>
        <v>9022.9900000000125</v>
      </c>
      <c r="H821" s="37"/>
      <c r="I821" s="37"/>
      <c r="J821" s="37"/>
      <c r="K821" s="37"/>
      <c r="L821" s="37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</row>
    <row r="822" spans="1:44" x14ac:dyDescent="0.25">
      <c r="A822" s="5">
        <v>45997</v>
      </c>
      <c r="B822" s="30" t="s">
        <v>189</v>
      </c>
      <c r="C822" s="30">
        <v>2025</v>
      </c>
      <c r="D822" s="3" t="s">
        <v>401</v>
      </c>
      <c r="F822" s="4">
        <v>450</v>
      </c>
      <c r="G822" s="47">
        <f t="shared" si="17"/>
        <v>8572.9900000000125</v>
      </c>
    </row>
    <row r="823" spans="1:44" x14ac:dyDescent="0.25">
      <c r="A823" s="5">
        <v>45999</v>
      </c>
      <c r="B823" s="30" t="s">
        <v>189</v>
      </c>
      <c r="C823" s="30">
        <v>2025</v>
      </c>
      <c r="D823" s="3" t="s">
        <v>352</v>
      </c>
      <c r="F823" s="4">
        <v>2520</v>
      </c>
      <c r="G823" s="47">
        <f t="shared" si="17"/>
        <v>6052.9900000000125</v>
      </c>
    </row>
    <row r="824" spans="1:44" x14ac:dyDescent="0.25">
      <c r="A824" s="5">
        <v>45999</v>
      </c>
      <c r="B824" s="30" t="s">
        <v>189</v>
      </c>
      <c r="C824" s="30">
        <v>2025</v>
      </c>
      <c r="D824" s="3" t="s">
        <v>487</v>
      </c>
      <c r="F824" s="4">
        <v>365</v>
      </c>
      <c r="G824" s="49">
        <f t="shared" si="17"/>
        <v>5687.9900000000125</v>
      </c>
    </row>
    <row r="825" spans="1:44" x14ac:dyDescent="0.25">
      <c r="A825" s="5">
        <v>45999</v>
      </c>
      <c r="B825" s="30" t="s">
        <v>189</v>
      </c>
      <c r="C825" s="30">
        <v>2025</v>
      </c>
      <c r="D825" s="3" t="s">
        <v>488</v>
      </c>
      <c r="F825" s="4">
        <v>800</v>
      </c>
      <c r="G825" s="49">
        <f t="shared" si="17"/>
        <v>4887.9900000000125</v>
      </c>
    </row>
    <row r="826" spans="1:44" x14ac:dyDescent="0.25">
      <c r="A826" s="5">
        <v>45999</v>
      </c>
      <c r="B826" s="30" t="s">
        <v>189</v>
      </c>
      <c r="C826" s="30">
        <v>2025</v>
      </c>
      <c r="D826" s="3" t="s">
        <v>489</v>
      </c>
      <c r="F826" s="4">
        <v>1200</v>
      </c>
      <c r="G826" s="49">
        <f t="shared" si="17"/>
        <v>3687.9900000000125</v>
      </c>
    </row>
    <row r="827" spans="1:44" x14ac:dyDescent="0.25">
      <c r="A827" s="5">
        <v>45999</v>
      </c>
      <c r="B827" s="30" t="s">
        <v>189</v>
      </c>
      <c r="C827" s="30">
        <v>2025</v>
      </c>
      <c r="D827" s="3" t="s">
        <v>490</v>
      </c>
      <c r="F827" s="4">
        <v>439.8</v>
      </c>
      <c r="G827" s="49">
        <f t="shared" si="17"/>
        <v>3248.1900000000123</v>
      </c>
    </row>
    <row r="828" spans="1:44" x14ac:dyDescent="0.25">
      <c r="A828" s="5">
        <v>45999</v>
      </c>
      <c r="B828" s="30" t="s">
        <v>189</v>
      </c>
      <c r="C828" s="30">
        <v>2025</v>
      </c>
      <c r="D828" s="3" t="s">
        <v>491</v>
      </c>
      <c r="F828" s="49">
        <v>439.8</v>
      </c>
      <c r="G828" s="49">
        <f t="shared" si="17"/>
        <v>2808.3900000000122</v>
      </c>
    </row>
    <row r="829" spans="1:44" x14ac:dyDescent="0.25">
      <c r="A829" s="5">
        <v>45999</v>
      </c>
      <c r="B829" s="30" t="s">
        <v>189</v>
      </c>
      <c r="C829" s="30">
        <v>2025</v>
      </c>
      <c r="D829" s="3" t="s">
        <v>492</v>
      </c>
      <c r="F829" s="4">
        <v>375</v>
      </c>
      <c r="G829" s="49">
        <f t="shared" si="17"/>
        <v>2433.3900000000122</v>
      </c>
    </row>
    <row r="830" spans="1:44" x14ac:dyDescent="0.25">
      <c r="A830" s="5">
        <v>46000</v>
      </c>
      <c r="B830" s="30" t="s">
        <v>189</v>
      </c>
      <c r="C830" s="30">
        <v>2025</v>
      </c>
      <c r="D830" s="8" t="s">
        <v>493</v>
      </c>
      <c r="E830" s="47"/>
      <c r="F830" s="47">
        <v>135</v>
      </c>
      <c r="G830" s="47">
        <f t="shared" si="17"/>
        <v>2298.3900000000122</v>
      </c>
    </row>
    <row r="831" spans="1:44" s="16" customFormat="1" x14ac:dyDescent="0.25">
      <c r="A831" s="5">
        <v>46000</v>
      </c>
      <c r="B831" s="30" t="s">
        <v>189</v>
      </c>
      <c r="C831" s="30">
        <v>2025</v>
      </c>
      <c r="D831" s="8" t="s">
        <v>494</v>
      </c>
      <c r="E831" s="9"/>
      <c r="F831" s="9">
        <v>395</v>
      </c>
      <c r="G831" s="47">
        <f t="shared" si="17"/>
        <v>1903.3900000000122</v>
      </c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</row>
    <row r="832" spans="1:44" s="24" customFormat="1" x14ac:dyDescent="0.25">
      <c r="A832" s="5">
        <v>46001</v>
      </c>
      <c r="B832" s="30" t="s">
        <v>189</v>
      </c>
      <c r="C832" s="30">
        <v>2025</v>
      </c>
      <c r="D832" s="8" t="s">
        <v>495</v>
      </c>
      <c r="E832" s="47"/>
      <c r="F832" s="47">
        <v>415</v>
      </c>
      <c r="G832" s="47">
        <f t="shared" si="17"/>
        <v>1488.3900000000122</v>
      </c>
      <c r="H832" s="37"/>
      <c r="I832" s="37"/>
      <c r="J832" s="37"/>
      <c r="K832" s="37"/>
      <c r="L832" s="37"/>
      <c r="M832" s="37"/>
      <c r="N832" s="37"/>
      <c r="O832" s="37"/>
      <c r="P832" s="37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 spans="1:7" x14ac:dyDescent="0.25">
      <c r="A833" s="5">
        <v>46001</v>
      </c>
      <c r="B833" s="30" t="s">
        <v>189</v>
      </c>
      <c r="C833" s="30">
        <v>2025</v>
      </c>
      <c r="D833" s="3" t="s">
        <v>496</v>
      </c>
      <c r="F833" s="4">
        <v>500</v>
      </c>
      <c r="G833" s="49">
        <f t="shared" si="17"/>
        <v>988.39000000001215</v>
      </c>
    </row>
    <row r="834" spans="1:7" x14ac:dyDescent="0.25">
      <c r="A834" s="5">
        <v>46002</v>
      </c>
      <c r="B834" s="30" t="s">
        <v>189</v>
      </c>
      <c r="C834" s="30">
        <v>2025</v>
      </c>
      <c r="D834" s="3" t="s">
        <v>497</v>
      </c>
      <c r="F834" s="4">
        <v>1000</v>
      </c>
      <c r="G834" s="49">
        <f t="shared" si="17"/>
        <v>-11.609999999987849</v>
      </c>
    </row>
    <row r="835" spans="1:7" x14ac:dyDescent="0.25">
      <c r="A835" s="5">
        <v>46006</v>
      </c>
      <c r="B835" s="30" t="s">
        <v>189</v>
      </c>
      <c r="C835" s="30">
        <v>2025</v>
      </c>
      <c r="D835" s="3" t="s">
        <v>352</v>
      </c>
      <c r="F835" s="4">
        <v>2520</v>
      </c>
      <c r="G835" s="49">
        <f t="shared" si="17"/>
        <v>-2531.6099999999878</v>
      </c>
    </row>
    <row r="836" spans="1:7" x14ac:dyDescent="0.25">
      <c r="A836" s="5">
        <v>46006</v>
      </c>
      <c r="B836" s="30" t="s">
        <v>189</v>
      </c>
      <c r="C836" s="30">
        <v>2025</v>
      </c>
      <c r="D836" s="3" t="s">
        <v>498</v>
      </c>
      <c r="F836" s="4">
        <v>650</v>
      </c>
      <c r="G836" s="49">
        <f t="shared" si="17"/>
        <v>-3181.6099999999878</v>
      </c>
    </row>
    <row r="837" spans="1:7" x14ac:dyDescent="0.25">
      <c r="A837" s="5">
        <v>46006</v>
      </c>
      <c r="B837" s="30" t="s">
        <v>189</v>
      </c>
      <c r="C837" s="30">
        <v>2025</v>
      </c>
      <c r="D837" s="8" t="s">
        <v>462</v>
      </c>
      <c r="E837" s="47"/>
      <c r="F837" s="47">
        <v>300</v>
      </c>
      <c r="G837" s="47">
        <f t="shared" si="17"/>
        <v>-3481.6099999999878</v>
      </c>
    </row>
    <row r="838" spans="1:7" x14ac:dyDescent="0.25">
      <c r="A838" s="5">
        <v>46007</v>
      </c>
      <c r="B838" s="30" t="s">
        <v>189</v>
      </c>
      <c r="C838" s="30">
        <v>2025</v>
      </c>
      <c r="D838" s="3" t="s">
        <v>496</v>
      </c>
      <c r="F838" s="4">
        <v>250</v>
      </c>
      <c r="G838" s="49">
        <f t="shared" si="17"/>
        <v>-3731.6099999999878</v>
      </c>
    </row>
    <row r="839" spans="1:7" x14ac:dyDescent="0.25">
      <c r="A839" s="5">
        <v>46007</v>
      </c>
      <c r="B839" s="30" t="s">
        <v>189</v>
      </c>
      <c r="C839" s="30">
        <v>2025</v>
      </c>
      <c r="D839" s="3" t="s">
        <v>499</v>
      </c>
      <c r="F839" s="4">
        <v>225</v>
      </c>
      <c r="G839" s="49">
        <f t="shared" si="17"/>
        <v>-3956.6099999999878</v>
      </c>
    </row>
    <row r="840" spans="1:7" x14ac:dyDescent="0.25">
      <c r="A840" s="5">
        <v>46007</v>
      </c>
      <c r="B840" s="30" t="s">
        <v>189</v>
      </c>
      <c r="C840" s="30">
        <v>2025</v>
      </c>
      <c r="D840" s="3" t="s">
        <v>500</v>
      </c>
      <c r="F840" s="4">
        <v>1010</v>
      </c>
      <c r="G840" s="49">
        <f t="shared" si="17"/>
        <v>-4966.6099999999878</v>
      </c>
    </row>
    <row r="841" spans="1:7" x14ac:dyDescent="0.25">
      <c r="A841" s="5">
        <v>46007</v>
      </c>
      <c r="B841" s="30" t="s">
        <v>189</v>
      </c>
      <c r="C841" s="30">
        <v>2025</v>
      </c>
      <c r="D841" s="3" t="s">
        <v>501</v>
      </c>
      <c r="F841" s="4">
        <v>300</v>
      </c>
      <c r="G841" s="49">
        <f t="shared" si="17"/>
        <v>-5266.6099999999878</v>
      </c>
    </row>
    <row r="842" spans="1:7" x14ac:dyDescent="0.25">
      <c r="A842" s="5">
        <v>46007</v>
      </c>
      <c r="B842" s="30" t="s">
        <v>189</v>
      </c>
      <c r="C842" s="30">
        <v>2025</v>
      </c>
      <c r="D842" s="3" t="s">
        <v>502</v>
      </c>
      <c r="F842" s="4">
        <v>400</v>
      </c>
      <c r="G842" s="49">
        <f t="shared" si="17"/>
        <v>-5666.6099999999878</v>
      </c>
    </row>
    <row r="843" spans="1:7" x14ac:dyDescent="0.25">
      <c r="A843" s="5">
        <v>46008</v>
      </c>
      <c r="B843" s="30" t="s">
        <v>189</v>
      </c>
      <c r="C843" s="30">
        <v>2025</v>
      </c>
      <c r="D843" s="3" t="s">
        <v>494</v>
      </c>
      <c r="F843" s="4">
        <v>170</v>
      </c>
      <c r="G843" s="49">
        <f t="shared" ref="G843:G906" si="18">G842+E843-F843</f>
        <v>-5836.6099999999878</v>
      </c>
    </row>
    <row r="844" spans="1:7" x14ac:dyDescent="0.25">
      <c r="A844" s="5">
        <v>46008</v>
      </c>
      <c r="B844" s="30" t="s">
        <v>189</v>
      </c>
      <c r="C844" s="30">
        <v>2025</v>
      </c>
      <c r="D844" s="72" t="s">
        <v>67</v>
      </c>
      <c r="E844" s="4">
        <v>10000</v>
      </c>
      <c r="G844" s="49">
        <f t="shared" si="18"/>
        <v>4163.3900000000122</v>
      </c>
    </row>
    <row r="845" spans="1:7" x14ac:dyDescent="0.25">
      <c r="A845" s="5">
        <v>46011</v>
      </c>
      <c r="B845" s="30" t="s">
        <v>189</v>
      </c>
      <c r="C845" s="30">
        <v>2025</v>
      </c>
      <c r="D845" s="3" t="s">
        <v>503</v>
      </c>
      <c r="F845" s="4">
        <v>850</v>
      </c>
      <c r="G845" s="49">
        <f t="shared" si="18"/>
        <v>3313.3900000000122</v>
      </c>
    </row>
    <row r="846" spans="1:7" x14ac:dyDescent="0.25">
      <c r="A846" s="5">
        <v>46011</v>
      </c>
      <c r="B846" s="30" t="s">
        <v>189</v>
      </c>
      <c r="C846" s="30">
        <v>2025</v>
      </c>
      <c r="D846" s="3" t="s">
        <v>504</v>
      </c>
      <c r="F846" s="4">
        <v>70</v>
      </c>
      <c r="G846" s="49">
        <f t="shared" si="18"/>
        <v>3243.3900000000122</v>
      </c>
    </row>
    <row r="847" spans="1:7" x14ac:dyDescent="0.25">
      <c r="A847" s="5">
        <v>46013</v>
      </c>
      <c r="B847" s="30" t="s">
        <v>189</v>
      </c>
      <c r="C847" s="30">
        <v>2025</v>
      </c>
      <c r="D847" s="3" t="s">
        <v>352</v>
      </c>
      <c r="F847" s="4">
        <v>2520</v>
      </c>
      <c r="G847" s="49">
        <f t="shared" si="18"/>
        <v>723.39000000001215</v>
      </c>
    </row>
    <row r="848" spans="1:7" x14ac:dyDescent="0.25">
      <c r="A848" s="5">
        <v>46014</v>
      </c>
      <c r="B848" s="30" t="s">
        <v>189</v>
      </c>
      <c r="C848" s="30">
        <v>2025</v>
      </c>
      <c r="D848" s="3" t="s">
        <v>506</v>
      </c>
      <c r="F848" s="4">
        <v>600</v>
      </c>
      <c r="G848" s="49">
        <f t="shared" si="18"/>
        <v>123.39000000001215</v>
      </c>
    </row>
    <row r="849" spans="1:7" x14ac:dyDescent="0.25">
      <c r="A849" s="5">
        <v>46014</v>
      </c>
      <c r="B849" s="30" t="s">
        <v>189</v>
      </c>
      <c r="C849" s="30">
        <v>2025</v>
      </c>
      <c r="D849" s="3" t="s">
        <v>505</v>
      </c>
      <c r="F849" s="4">
        <v>300</v>
      </c>
      <c r="G849" s="49">
        <f t="shared" si="18"/>
        <v>-176.60999999998785</v>
      </c>
    </row>
    <row r="850" spans="1:7" x14ac:dyDescent="0.25">
      <c r="A850" s="5">
        <v>46014</v>
      </c>
      <c r="B850" s="30" t="s">
        <v>189</v>
      </c>
      <c r="C850" s="30">
        <v>2025</v>
      </c>
      <c r="D850" s="3" t="s">
        <v>507</v>
      </c>
      <c r="F850" s="4">
        <v>440</v>
      </c>
      <c r="G850" s="49">
        <f t="shared" si="18"/>
        <v>-616.60999999998785</v>
      </c>
    </row>
    <row r="851" spans="1:7" x14ac:dyDescent="0.25">
      <c r="A851" s="5">
        <v>46015</v>
      </c>
      <c r="B851" s="30" t="s">
        <v>189</v>
      </c>
      <c r="C851" s="30">
        <v>2025</v>
      </c>
      <c r="D851" s="3" t="s">
        <v>482</v>
      </c>
      <c r="F851" s="4">
        <v>800</v>
      </c>
      <c r="G851" s="49">
        <f t="shared" si="18"/>
        <v>-1416.6099999999878</v>
      </c>
    </row>
    <row r="852" spans="1:7" x14ac:dyDescent="0.25">
      <c r="A852" s="5">
        <v>46015</v>
      </c>
      <c r="B852" s="30" t="s">
        <v>189</v>
      </c>
      <c r="C852" s="30">
        <v>2025</v>
      </c>
      <c r="D852" s="3" t="s">
        <v>508</v>
      </c>
      <c r="F852" s="4">
        <v>1250</v>
      </c>
      <c r="G852" s="49">
        <f>G851+E852-F852</f>
        <v>-2666.6099999999878</v>
      </c>
    </row>
    <row r="853" spans="1:7" x14ac:dyDescent="0.25">
      <c r="A853" s="5">
        <v>46015</v>
      </c>
      <c r="B853" s="30" t="s">
        <v>189</v>
      </c>
      <c r="C853" s="30">
        <v>2025</v>
      </c>
      <c r="D853" s="3" t="s">
        <v>509</v>
      </c>
      <c r="F853" s="4">
        <v>540</v>
      </c>
      <c r="G853" s="49">
        <f t="shared" si="18"/>
        <v>-3206.6099999999878</v>
      </c>
    </row>
    <row r="854" spans="1:7" x14ac:dyDescent="0.25">
      <c r="A854" s="5">
        <v>46016</v>
      </c>
      <c r="B854" s="30" t="s">
        <v>189</v>
      </c>
      <c r="C854" s="30">
        <v>2025</v>
      </c>
      <c r="D854" s="3" t="s">
        <v>510</v>
      </c>
      <c r="F854" s="4">
        <v>650</v>
      </c>
      <c r="G854" s="49">
        <f t="shared" si="18"/>
        <v>-3856.6099999999878</v>
      </c>
    </row>
    <row r="855" spans="1:7" x14ac:dyDescent="0.25">
      <c r="A855" s="5">
        <v>46017</v>
      </c>
      <c r="B855" s="30" t="s">
        <v>189</v>
      </c>
      <c r="C855" s="30">
        <v>2025</v>
      </c>
      <c r="D855" s="72" t="s">
        <v>67</v>
      </c>
      <c r="E855" s="49">
        <v>10000</v>
      </c>
      <c r="G855" s="49">
        <f t="shared" si="18"/>
        <v>6143.3900000000122</v>
      </c>
    </row>
    <row r="856" spans="1:7" x14ac:dyDescent="0.25">
      <c r="A856" s="5">
        <v>46020</v>
      </c>
      <c r="B856" s="30" t="s">
        <v>189</v>
      </c>
      <c r="C856" s="30">
        <v>2025</v>
      </c>
      <c r="D856" s="3" t="s">
        <v>352</v>
      </c>
      <c r="F856" s="4">
        <v>2520</v>
      </c>
      <c r="G856" s="49">
        <f t="shared" si="18"/>
        <v>3623.3900000000122</v>
      </c>
    </row>
    <row r="857" spans="1:7" x14ac:dyDescent="0.25">
      <c r="A857" s="5">
        <v>46020</v>
      </c>
      <c r="B857" s="30" t="s">
        <v>189</v>
      </c>
      <c r="C857" s="30">
        <v>2025</v>
      </c>
      <c r="D857" s="3" t="s">
        <v>511</v>
      </c>
      <c r="F857" s="4">
        <v>500</v>
      </c>
      <c r="G857" s="49">
        <f t="shared" si="18"/>
        <v>3123.3900000000122</v>
      </c>
    </row>
    <row r="858" spans="1:7" x14ac:dyDescent="0.25">
      <c r="A858" s="6">
        <v>46022</v>
      </c>
      <c r="B858" s="30" t="s">
        <v>189</v>
      </c>
      <c r="C858" s="30">
        <v>2025</v>
      </c>
      <c r="D858" s="8" t="s">
        <v>401</v>
      </c>
      <c r="E858" s="47"/>
      <c r="F858" s="4">
        <v>410</v>
      </c>
      <c r="G858" s="49">
        <f t="shared" si="18"/>
        <v>2713.3900000000122</v>
      </c>
    </row>
    <row r="859" spans="1:7" x14ac:dyDescent="0.25">
      <c r="A859" s="5">
        <v>46023</v>
      </c>
      <c r="B859" s="30" t="s">
        <v>223</v>
      </c>
      <c r="C859" s="30">
        <v>2026</v>
      </c>
      <c r="D859" s="3" t="s">
        <v>512</v>
      </c>
      <c r="F859" s="4">
        <v>485</v>
      </c>
      <c r="G859" s="49">
        <f t="shared" si="18"/>
        <v>2228.3900000000122</v>
      </c>
    </row>
    <row r="860" spans="1:7" x14ac:dyDescent="0.25">
      <c r="A860" s="5">
        <v>46020</v>
      </c>
      <c r="B860" s="30" t="s">
        <v>189</v>
      </c>
      <c r="C860" s="30">
        <v>2025</v>
      </c>
      <c r="D860" s="25" t="s">
        <v>513</v>
      </c>
      <c r="F860" s="4">
        <v>280</v>
      </c>
      <c r="G860" s="49">
        <f t="shared" si="18"/>
        <v>1948.3900000000122</v>
      </c>
    </row>
    <row r="861" spans="1:7" x14ac:dyDescent="0.25">
      <c r="A861" s="5">
        <v>46024</v>
      </c>
      <c r="B861" s="30" t="s">
        <v>223</v>
      </c>
      <c r="C861" s="30">
        <v>2026</v>
      </c>
      <c r="D861" s="3" t="s">
        <v>401</v>
      </c>
      <c r="F861" s="4">
        <v>450</v>
      </c>
      <c r="G861" s="49">
        <f t="shared" si="18"/>
        <v>1498.3900000000122</v>
      </c>
    </row>
    <row r="862" spans="1:7" x14ac:dyDescent="0.25">
      <c r="A862" s="5">
        <v>46027</v>
      </c>
      <c r="B862" s="30" t="s">
        <v>223</v>
      </c>
      <c r="C862" s="30">
        <v>2026</v>
      </c>
      <c r="D862" s="3" t="s">
        <v>352</v>
      </c>
      <c r="F862" s="4">
        <v>3080</v>
      </c>
      <c r="G862" s="49">
        <f t="shared" si="18"/>
        <v>-1581.6099999999878</v>
      </c>
    </row>
    <row r="863" spans="1:7" x14ac:dyDescent="0.25">
      <c r="A863" s="5">
        <v>46029</v>
      </c>
      <c r="B863" s="30" t="s">
        <v>223</v>
      </c>
      <c r="C863" s="30">
        <v>2026</v>
      </c>
      <c r="D863" s="3" t="s">
        <v>461</v>
      </c>
      <c r="F863" s="4">
        <v>800</v>
      </c>
      <c r="G863" s="49">
        <f t="shared" si="18"/>
        <v>-2381.6099999999878</v>
      </c>
    </row>
    <row r="864" spans="1:7" x14ac:dyDescent="0.25">
      <c r="A864" s="5">
        <v>46029</v>
      </c>
      <c r="B864" s="30" t="s">
        <v>223</v>
      </c>
      <c r="C864" s="30">
        <v>2026</v>
      </c>
      <c r="D864" s="3" t="s">
        <v>514</v>
      </c>
      <c r="F864" s="4">
        <v>1800</v>
      </c>
      <c r="G864" s="49">
        <f t="shared" si="18"/>
        <v>-4181.6099999999878</v>
      </c>
    </row>
    <row r="865" spans="1:7" x14ac:dyDescent="0.25">
      <c r="A865" s="5">
        <v>46030</v>
      </c>
      <c r="B865" s="30" t="s">
        <v>223</v>
      </c>
      <c r="C865" s="30">
        <v>2026</v>
      </c>
      <c r="D865" s="72" t="s">
        <v>67</v>
      </c>
      <c r="E865" s="49">
        <v>10000</v>
      </c>
      <c r="G865" s="49">
        <f t="shared" si="18"/>
        <v>5818.3900000000122</v>
      </c>
    </row>
    <row r="866" spans="1:7" x14ac:dyDescent="0.25">
      <c r="A866" s="5">
        <v>46031</v>
      </c>
      <c r="B866" s="30" t="s">
        <v>223</v>
      </c>
      <c r="C866" s="30">
        <v>2026</v>
      </c>
      <c r="D866" s="72" t="s">
        <v>67</v>
      </c>
      <c r="E866" s="4">
        <v>30000</v>
      </c>
      <c r="G866" s="49">
        <f t="shared" si="18"/>
        <v>35818.390000000014</v>
      </c>
    </row>
    <row r="867" spans="1:7" x14ac:dyDescent="0.25">
      <c r="A867" s="76">
        <v>46031</v>
      </c>
      <c r="B867" s="77" t="s">
        <v>223</v>
      </c>
      <c r="C867" s="77">
        <v>2026</v>
      </c>
      <c r="D867" s="20" t="s">
        <v>515</v>
      </c>
      <c r="E867" s="19"/>
      <c r="F867" s="19">
        <v>4200</v>
      </c>
      <c r="G867" s="49">
        <f t="shared" si="18"/>
        <v>31618.390000000014</v>
      </c>
    </row>
    <row r="868" spans="1:7" x14ac:dyDescent="0.25">
      <c r="A868" s="76">
        <v>46031</v>
      </c>
      <c r="B868" s="77" t="s">
        <v>223</v>
      </c>
      <c r="C868" s="77">
        <v>2026</v>
      </c>
      <c r="D868" s="20" t="s">
        <v>515</v>
      </c>
      <c r="E868" s="19"/>
      <c r="F868" s="19">
        <v>900</v>
      </c>
      <c r="G868" s="49">
        <f t="shared" si="18"/>
        <v>30718.390000000014</v>
      </c>
    </row>
    <row r="869" spans="1:7" x14ac:dyDescent="0.25">
      <c r="A869" s="76">
        <v>46031</v>
      </c>
      <c r="B869" s="77" t="s">
        <v>223</v>
      </c>
      <c r="C869" s="77">
        <v>2026</v>
      </c>
      <c r="D869" s="20" t="s">
        <v>516</v>
      </c>
      <c r="E869" s="19"/>
      <c r="F869" s="19">
        <v>800</v>
      </c>
      <c r="G869" s="49">
        <f t="shared" si="18"/>
        <v>29918.390000000014</v>
      </c>
    </row>
    <row r="870" spans="1:7" x14ac:dyDescent="0.25">
      <c r="A870" s="76">
        <v>46031</v>
      </c>
      <c r="B870" s="77" t="s">
        <v>223</v>
      </c>
      <c r="C870" s="77">
        <v>2026</v>
      </c>
      <c r="D870" s="20" t="s">
        <v>517</v>
      </c>
      <c r="E870" s="19"/>
      <c r="F870" s="19">
        <v>3600</v>
      </c>
      <c r="G870" s="49">
        <f t="shared" si="18"/>
        <v>26318.390000000014</v>
      </c>
    </row>
    <row r="871" spans="1:7" x14ac:dyDescent="0.25">
      <c r="A871" s="76">
        <v>46031</v>
      </c>
      <c r="B871" s="77" t="s">
        <v>223</v>
      </c>
      <c r="C871" s="77">
        <v>2026</v>
      </c>
      <c r="D871" s="20" t="s">
        <v>518</v>
      </c>
      <c r="E871" s="19"/>
      <c r="F871" s="19">
        <v>250</v>
      </c>
      <c r="G871" s="49">
        <f t="shared" si="18"/>
        <v>26068.390000000014</v>
      </c>
    </row>
    <row r="872" spans="1:7" x14ac:dyDescent="0.25">
      <c r="A872" s="76">
        <v>46031</v>
      </c>
      <c r="B872" s="77" t="s">
        <v>223</v>
      </c>
      <c r="C872" s="77">
        <v>2026</v>
      </c>
      <c r="D872" s="20" t="s">
        <v>519</v>
      </c>
      <c r="E872" s="19"/>
      <c r="F872" s="19">
        <v>1800</v>
      </c>
      <c r="G872" s="49">
        <f t="shared" si="18"/>
        <v>24268.390000000014</v>
      </c>
    </row>
    <row r="873" spans="1:7" x14ac:dyDescent="0.25">
      <c r="A873" s="76">
        <v>46031</v>
      </c>
      <c r="B873" s="77" t="s">
        <v>223</v>
      </c>
      <c r="C873" s="77">
        <v>2026</v>
      </c>
      <c r="D873" s="20" t="s">
        <v>520</v>
      </c>
      <c r="E873" s="19"/>
      <c r="F873" s="19">
        <v>360</v>
      </c>
      <c r="G873" s="49">
        <f t="shared" si="18"/>
        <v>23908.390000000014</v>
      </c>
    </row>
    <row r="874" spans="1:7" x14ac:dyDescent="0.25">
      <c r="A874" s="76">
        <v>46031</v>
      </c>
      <c r="B874" s="77" t="s">
        <v>223</v>
      </c>
      <c r="C874" s="77">
        <v>2026</v>
      </c>
      <c r="D874" s="20" t="s">
        <v>521</v>
      </c>
      <c r="E874" s="19"/>
      <c r="F874" s="19">
        <v>3600</v>
      </c>
      <c r="G874" s="49">
        <f t="shared" si="18"/>
        <v>20308.390000000014</v>
      </c>
    </row>
    <row r="875" spans="1:7" x14ac:dyDescent="0.25">
      <c r="A875" s="76">
        <v>46031</v>
      </c>
      <c r="B875" s="77" t="s">
        <v>223</v>
      </c>
      <c r="C875" s="77">
        <v>2026</v>
      </c>
      <c r="D875" s="3" t="s">
        <v>522</v>
      </c>
      <c r="F875" s="4">
        <v>700</v>
      </c>
      <c r="G875" s="49">
        <f t="shared" si="18"/>
        <v>19608.390000000014</v>
      </c>
    </row>
    <row r="876" spans="1:7" x14ac:dyDescent="0.25">
      <c r="A876" s="76">
        <v>46031</v>
      </c>
      <c r="B876" s="77" t="s">
        <v>223</v>
      </c>
      <c r="C876" s="77">
        <v>2026</v>
      </c>
      <c r="D876" s="3" t="s">
        <v>401</v>
      </c>
      <c r="F876" s="4">
        <v>280</v>
      </c>
      <c r="G876" s="49">
        <f t="shared" si="18"/>
        <v>19328.390000000014</v>
      </c>
    </row>
    <row r="877" spans="1:7" x14ac:dyDescent="0.25">
      <c r="A877" s="76">
        <v>46032</v>
      </c>
      <c r="B877" s="77" t="s">
        <v>223</v>
      </c>
      <c r="C877" s="77">
        <v>2026</v>
      </c>
      <c r="D877" s="8" t="s">
        <v>523</v>
      </c>
      <c r="E877" s="9"/>
      <c r="F877" s="9">
        <v>1420</v>
      </c>
      <c r="G877" s="47">
        <f t="shared" si="18"/>
        <v>17908.390000000014</v>
      </c>
    </row>
    <row r="878" spans="1:7" x14ac:dyDescent="0.25">
      <c r="A878" s="76">
        <v>46032</v>
      </c>
      <c r="B878" s="77" t="s">
        <v>223</v>
      </c>
      <c r="C878" s="77">
        <v>2026</v>
      </c>
      <c r="D878" s="8" t="s">
        <v>524</v>
      </c>
      <c r="E878" s="47"/>
      <c r="F878" s="4">
        <v>240</v>
      </c>
      <c r="G878" s="49">
        <f t="shared" si="18"/>
        <v>17668.390000000014</v>
      </c>
    </row>
    <row r="879" spans="1:7" x14ac:dyDescent="0.25">
      <c r="A879" s="6">
        <v>46034</v>
      </c>
      <c r="B879" s="77" t="s">
        <v>223</v>
      </c>
      <c r="C879" s="77">
        <v>2026</v>
      </c>
      <c r="D879" s="3" t="s">
        <v>401</v>
      </c>
      <c r="F879" s="4">
        <v>400</v>
      </c>
      <c r="G879" s="49">
        <f t="shared" si="18"/>
        <v>17268.390000000014</v>
      </c>
    </row>
    <row r="880" spans="1:7" x14ac:dyDescent="0.25">
      <c r="A880" s="6">
        <v>46034</v>
      </c>
      <c r="B880" s="77" t="s">
        <v>223</v>
      </c>
      <c r="C880" s="77">
        <v>2026</v>
      </c>
      <c r="D880" s="8" t="s">
        <v>525</v>
      </c>
      <c r="E880" s="47"/>
      <c r="F880" s="4">
        <v>120</v>
      </c>
      <c r="G880" s="49">
        <f t="shared" si="18"/>
        <v>17148.390000000014</v>
      </c>
    </row>
    <row r="881" spans="1:7" x14ac:dyDescent="0.25">
      <c r="A881" s="6">
        <v>46034</v>
      </c>
      <c r="B881" s="77" t="s">
        <v>223</v>
      </c>
      <c r="C881" s="77">
        <v>2026</v>
      </c>
      <c r="D881" s="3" t="s">
        <v>352</v>
      </c>
      <c r="F881" s="4">
        <v>3080</v>
      </c>
      <c r="G881" s="49">
        <f t="shared" si="18"/>
        <v>14068.390000000014</v>
      </c>
    </row>
    <row r="882" spans="1:7" x14ac:dyDescent="0.25">
      <c r="A882" s="6">
        <v>46035</v>
      </c>
      <c r="B882" s="77" t="s">
        <v>223</v>
      </c>
      <c r="C882" s="77">
        <v>2026</v>
      </c>
      <c r="D882" s="3" t="s">
        <v>510</v>
      </c>
      <c r="F882" s="4">
        <v>560</v>
      </c>
      <c r="G882" s="49">
        <f t="shared" si="18"/>
        <v>13508.390000000014</v>
      </c>
    </row>
    <row r="883" spans="1:7" x14ac:dyDescent="0.25">
      <c r="A883" s="6">
        <v>46036</v>
      </c>
      <c r="B883" s="77" t="s">
        <v>223</v>
      </c>
      <c r="C883" s="77">
        <v>2026</v>
      </c>
      <c r="D883" s="3" t="s">
        <v>526</v>
      </c>
      <c r="F883" s="4">
        <v>700</v>
      </c>
      <c r="G883" s="49">
        <f t="shared" si="18"/>
        <v>12808.390000000014</v>
      </c>
    </row>
    <row r="884" spans="1:7" x14ac:dyDescent="0.25">
      <c r="A884" s="6">
        <v>46037</v>
      </c>
      <c r="B884" s="77" t="s">
        <v>223</v>
      </c>
      <c r="C884" s="77">
        <v>2026</v>
      </c>
      <c r="D884" s="3" t="s">
        <v>484</v>
      </c>
      <c r="F884" s="4">
        <v>265</v>
      </c>
      <c r="G884" s="49">
        <f t="shared" si="18"/>
        <v>12543.390000000014</v>
      </c>
    </row>
    <row r="885" spans="1:7" x14ac:dyDescent="0.25">
      <c r="A885" s="6">
        <v>46038</v>
      </c>
      <c r="B885" s="77" t="s">
        <v>223</v>
      </c>
      <c r="C885" s="77">
        <v>2026</v>
      </c>
      <c r="D885" s="3" t="s">
        <v>527</v>
      </c>
      <c r="F885" s="4">
        <v>870</v>
      </c>
      <c r="G885" s="49">
        <f t="shared" si="18"/>
        <v>11673.390000000014</v>
      </c>
    </row>
    <row r="886" spans="1:7" x14ac:dyDescent="0.25">
      <c r="A886" s="6">
        <v>46039</v>
      </c>
      <c r="B886" s="77" t="s">
        <v>223</v>
      </c>
      <c r="C886" s="77">
        <v>2026</v>
      </c>
      <c r="D886" s="3" t="s">
        <v>401</v>
      </c>
      <c r="F886" s="4">
        <v>565</v>
      </c>
      <c r="G886" s="49">
        <f t="shared" si="18"/>
        <v>11108.390000000014</v>
      </c>
    </row>
    <row r="887" spans="1:7" x14ac:dyDescent="0.25">
      <c r="A887" s="6">
        <v>46041</v>
      </c>
      <c r="B887" s="77" t="s">
        <v>223</v>
      </c>
      <c r="C887" s="77">
        <v>2026</v>
      </c>
      <c r="D887" s="3" t="s">
        <v>352</v>
      </c>
      <c r="F887" s="4">
        <v>3080</v>
      </c>
      <c r="G887" s="49">
        <f t="shared" si="18"/>
        <v>8028.390000000014</v>
      </c>
    </row>
    <row r="888" spans="1:7" x14ac:dyDescent="0.25">
      <c r="A888" s="6">
        <v>46042</v>
      </c>
      <c r="B888" s="77" t="s">
        <v>223</v>
      </c>
      <c r="C888" s="77">
        <v>2026</v>
      </c>
      <c r="D888" s="3" t="s">
        <v>484</v>
      </c>
      <c r="F888" s="4">
        <v>250</v>
      </c>
      <c r="G888" s="49">
        <f t="shared" si="18"/>
        <v>7778.390000000014</v>
      </c>
    </row>
    <row r="889" spans="1:7" x14ac:dyDescent="0.25">
      <c r="A889" s="5">
        <v>46044</v>
      </c>
      <c r="B889" s="77" t="s">
        <v>223</v>
      </c>
      <c r="C889" s="77">
        <v>2026</v>
      </c>
      <c r="D889" s="3" t="s">
        <v>528</v>
      </c>
      <c r="F889" s="4">
        <v>120</v>
      </c>
      <c r="G889" s="49">
        <f t="shared" si="18"/>
        <v>7658.390000000014</v>
      </c>
    </row>
    <row r="890" spans="1:7" x14ac:dyDescent="0.25">
      <c r="A890" s="5">
        <v>46044</v>
      </c>
      <c r="B890" s="77" t="s">
        <v>223</v>
      </c>
      <c r="C890" s="77">
        <v>2026</v>
      </c>
      <c r="D890" s="3" t="s">
        <v>529</v>
      </c>
      <c r="F890" s="4">
        <v>800</v>
      </c>
      <c r="G890" s="49">
        <f t="shared" si="18"/>
        <v>6858.390000000014</v>
      </c>
    </row>
    <row r="891" spans="1:7" x14ac:dyDescent="0.25">
      <c r="A891" s="5">
        <v>46045</v>
      </c>
      <c r="B891" s="77" t="s">
        <v>223</v>
      </c>
      <c r="C891" s="77">
        <v>2026</v>
      </c>
      <c r="D891" s="3" t="s">
        <v>530</v>
      </c>
      <c r="F891" s="4">
        <v>1300</v>
      </c>
      <c r="G891" s="49">
        <f t="shared" si="18"/>
        <v>5558.390000000014</v>
      </c>
    </row>
    <row r="892" spans="1:7" x14ac:dyDescent="0.25">
      <c r="A892" s="5">
        <v>46045</v>
      </c>
      <c r="B892" s="77" t="s">
        <v>223</v>
      </c>
      <c r="C892" s="77">
        <v>2026</v>
      </c>
      <c r="D892" s="3" t="s">
        <v>531</v>
      </c>
      <c r="F892" s="4">
        <v>300</v>
      </c>
      <c r="G892" s="49">
        <f t="shared" si="18"/>
        <v>5258.390000000014</v>
      </c>
    </row>
    <row r="893" spans="1:7" x14ac:dyDescent="0.25">
      <c r="A893" s="5">
        <v>46048</v>
      </c>
      <c r="B893" s="77" t="s">
        <v>223</v>
      </c>
      <c r="C893" s="77">
        <v>2026</v>
      </c>
      <c r="D893" s="3" t="s">
        <v>352</v>
      </c>
      <c r="F893" s="4">
        <v>3080</v>
      </c>
      <c r="G893" s="49">
        <f t="shared" si="18"/>
        <v>2178.390000000014</v>
      </c>
    </row>
    <row r="894" spans="1:7" x14ac:dyDescent="0.25">
      <c r="A894" s="5">
        <v>46049</v>
      </c>
      <c r="B894" s="77" t="s">
        <v>223</v>
      </c>
      <c r="C894" s="77">
        <v>2026</v>
      </c>
      <c r="D894" s="3" t="s">
        <v>532</v>
      </c>
      <c r="F894" s="4">
        <v>400</v>
      </c>
      <c r="G894" s="49">
        <f t="shared" si="18"/>
        <v>1778.390000000014</v>
      </c>
    </row>
    <row r="895" spans="1:7" x14ac:dyDescent="0.25">
      <c r="A895" s="5">
        <v>46050</v>
      </c>
      <c r="B895" s="77" t="s">
        <v>223</v>
      </c>
      <c r="C895" s="77">
        <v>2026</v>
      </c>
      <c r="D895" s="3" t="s">
        <v>533</v>
      </c>
      <c r="F895" s="4">
        <v>1040</v>
      </c>
      <c r="G895" s="49">
        <f t="shared" si="18"/>
        <v>738.39000000001397</v>
      </c>
    </row>
    <row r="896" spans="1:7" x14ac:dyDescent="0.25">
      <c r="A896" s="5">
        <v>46050</v>
      </c>
      <c r="B896" s="77" t="s">
        <v>223</v>
      </c>
      <c r="C896" s="77">
        <v>2026</v>
      </c>
      <c r="D896" s="3" t="s">
        <v>534</v>
      </c>
      <c r="F896" s="4">
        <v>800</v>
      </c>
      <c r="G896" s="49">
        <f t="shared" si="18"/>
        <v>-61.60999999998603</v>
      </c>
    </row>
    <row r="897" spans="1:7" x14ac:dyDescent="0.25">
      <c r="A897" s="5">
        <v>46051</v>
      </c>
      <c r="B897" s="77" t="s">
        <v>223</v>
      </c>
      <c r="C897" s="77">
        <v>2026</v>
      </c>
      <c r="D897" s="3" t="s">
        <v>535</v>
      </c>
      <c r="F897" s="4">
        <v>400</v>
      </c>
      <c r="G897" s="49">
        <f t="shared" si="18"/>
        <v>-461.60999999998603</v>
      </c>
    </row>
    <row r="898" spans="1:7" x14ac:dyDescent="0.25">
      <c r="A898" s="5">
        <v>46055</v>
      </c>
      <c r="B898" s="77" t="s">
        <v>547</v>
      </c>
      <c r="C898" s="77">
        <v>2026</v>
      </c>
      <c r="D898" s="8" t="s">
        <v>533</v>
      </c>
      <c r="E898" s="47"/>
      <c r="F898" s="47">
        <v>1320</v>
      </c>
      <c r="G898" s="49">
        <f t="shared" si="18"/>
        <v>-1781.609999999986</v>
      </c>
    </row>
    <row r="899" spans="1:7" x14ac:dyDescent="0.25">
      <c r="A899" s="5">
        <v>46055</v>
      </c>
      <c r="B899" s="77" t="s">
        <v>547</v>
      </c>
      <c r="C899" s="77">
        <v>2026</v>
      </c>
      <c r="D899" s="8" t="s">
        <v>536</v>
      </c>
      <c r="F899" s="4">
        <v>90</v>
      </c>
      <c r="G899" s="49">
        <f t="shared" si="18"/>
        <v>-1871.609999999986</v>
      </c>
    </row>
    <row r="900" spans="1:7" x14ac:dyDescent="0.25">
      <c r="A900" s="5">
        <v>46056</v>
      </c>
      <c r="B900" s="77" t="s">
        <v>547</v>
      </c>
      <c r="C900" s="77">
        <v>2026</v>
      </c>
      <c r="D900" s="3" t="s">
        <v>537</v>
      </c>
      <c r="F900" s="4">
        <v>1520</v>
      </c>
      <c r="G900" s="49">
        <f t="shared" si="18"/>
        <v>-3391.609999999986</v>
      </c>
    </row>
    <row r="901" spans="1:7" x14ac:dyDescent="0.25">
      <c r="A901" s="5">
        <v>46056</v>
      </c>
      <c r="B901" s="77" t="s">
        <v>547</v>
      </c>
      <c r="C901" s="77">
        <v>2026</v>
      </c>
      <c r="D901" s="3" t="s">
        <v>538</v>
      </c>
      <c r="F901" s="4">
        <v>4500</v>
      </c>
      <c r="G901" s="49">
        <f t="shared" si="18"/>
        <v>-7891.609999999986</v>
      </c>
    </row>
    <row r="902" spans="1:7" x14ac:dyDescent="0.25">
      <c r="A902" s="5">
        <v>46056</v>
      </c>
      <c r="B902" s="77" t="s">
        <v>547</v>
      </c>
      <c r="C902" s="77">
        <v>2026</v>
      </c>
      <c r="D902" s="3" t="s">
        <v>538</v>
      </c>
      <c r="F902" s="4">
        <v>360</v>
      </c>
      <c r="G902" s="49">
        <f t="shared" si="18"/>
        <v>-8251.609999999986</v>
      </c>
    </row>
    <row r="903" spans="1:7" x14ac:dyDescent="0.25">
      <c r="A903" s="5">
        <v>46049</v>
      </c>
      <c r="B903" s="77" t="s">
        <v>223</v>
      </c>
      <c r="C903" s="77">
        <v>2026</v>
      </c>
      <c r="D903" s="3" t="s">
        <v>542</v>
      </c>
      <c r="F903" s="4">
        <v>500</v>
      </c>
      <c r="G903" s="49">
        <f t="shared" si="18"/>
        <v>-8751.609999999986</v>
      </c>
    </row>
    <row r="904" spans="1:7" x14ac:dyDescent="0.25">
      <c r="A904" s="5">
        <v>46055</v>
      </c>
      <c r="B904" s="77" t="s">
        <v>547</v>
      </c>
      <c r="C904" s="77">
        <v>2026</v>
      </c>
      <c r="D904" s="3" t="s">
        <v>542</v>
      </c>
      <c r="F904" s="4">
        <v>555</v>
      </c>
      <c r="G904" s="49">
        <f t="shared" si="18"/>
        <v>-9306.609999999986</v>
      </c>
    </row>
    <row r="905" spans="1:7" x14ac:dyDescent="0.25">
      <c r="A905" s="5">
        <v>46055</v>
      </c>
      <c r="B905" s="77" t="s">
        <v>547</v>
      </c>
      <c r="C905" s="77">
        <v>2026</v>
      </c>
      <c r="D905" s="3" t="s">
        <v>542</v>
      </c>
      <c r="F905" s="4">
        <v>30</v>
      </c>
      <c r="G905" s="49">
        <f t="shared" si="18"/>
        <v>-9336.609999999986</v>
      </c>
    </row>
    <row r="906" spans="1:7" x14ac:dyDescent="0.25">
      <c r="A906" s="5">
        <v>46056</v>
      </c>
      <c r="B906" s="77" t="s">
        <v>547</v>
      </c>
      <c r="C906" s="77">
        <v>2026</v>
      </c>
      <c r="D906" s="72" t="s">
        <v>67</v>
      </c>
      <c r="E906" s="4">
        <v>15000</v>
      </c>
      <c r="G906" s="49">
        <f t="shared" si="18"/>
        <v>5663.390000000014</v>
      </c>
    </row>
    <row r="907" spans="1:7" x14ac:dyDescent="0.25">
      <c r="A907" s="5">
        <v>46049</v>
      </c>
      <c r="B907" s="77" t="s">
        <v>223</v>
      </c>
      <c r="C907" s="77">
        <v>2026</v>
      </c>
      <c r="D907" s="3" t="s">
        <v>541</v>
      </c>
      <c r="E907" s="49"/>
      <c r="F907" s="49">
        <v>3450</v>
      </c>
      <c r="G907" s="49">
        <f>G906+E907-F907</f>
        <v>2213.390000000014</v>
      </c>
    </row>
    <row r="908" spans="1:7" x14ac:dyDescent="0.25">
      <c r="A908" s="5">
        <v>46056</v>
      </c>
      <c r="B908" s="77" t="s">
        <v>547</v>
      </c>
      <c r="C908" s="77">
        <v>2026</v>
      </c>
      <c r="D908" s="3" t="s">
        <v>543</v>
      </c>
      <c r="E908" s="49"/>
      <c r="F908" s="49">
        <v>1000</v>
      </c>
      <c r="G908" s="49">
        <f>G907+E908-F908</f>
        <v>1213.390000000014</v>
      </c>
    </row>
    <row r="909" spans="1:7" x14ac:dyDescent="0.25">
      <c r="A909" s="5">
        <v>46057</v>
      </c>
      <c r="B909" s="77" t="s">
        <v>547</v>
      </c>
      <c r="C909" s="77">
        <v>2026</v>
      </c>
      <c r="D909" s="3" t="s">
        <v>544</v>
      </c>
      <c r="E909" s="49"/>
      <c r="F909" s="49">
        <v>800</v>
      </c>
      <c r="G909" s="49">
        <f>G908+E909-F909</f>
        <v>413.39000000001397</v>
      </c>
    </row>
    <row r="910" spans="1:7" x14ac:dyDescent="0.25">
      <c r="A910" s="5">
        <v>46058</v>
      </c>
      <c r="B910" s="77" t="s">
        <v>547</v>
      </c>
      <c r="C910" s="77">
        <v>2026</v>
      </c>
      <c r="D910" s="3" t="s">
        <v>539</v>
      </c>
      <c r="E910" s="49"/>
      <c r="F910" s="49">
        <v>1140</v>
      </c>
      <c r="G910" s="49">
        <f>G909+E910-F910</f>
        <v>-726.60999999998603</v>
      </c>
    </row>
    <row r="911" spans="1:7" x14ac:dyDescent="0.25">
      <c r="A911" s="5">
        <v>46059</v>
      </c>
      <c r="B911" s="77" t="s">
        <v>547</v>
      </c>
      <c r="C911" s="77">
        <v>2026</v>
      </c>
      <c r="D911" s="3" t="s">
        <v>540</v>
      </c>
      <c r="E911" s="49"/>
      <c r="F911" s="49">
        <v>1500</v>
      </c>
      <c r="G911" s="49">
        <f t="shared" ref="G911:G970" si="19">G910+E911-F911</f>
        <v>-2226.609999999986</v>
      </c>
    </row>
    <row r="912" spans="1:7" x14ac:dyDescent="0.25">
      <c r="A912" s="5">
        <v>46059</v>
      </c>
      <c r="B912" s="77" t="s">
        <v>547</v>
      </c>
      <c r="C912" s="77">
        <v>2026</v>
      </c>
      <c r="D912" s="3" t="s">
        <v>540</v>
      </c>
      <c r="E912" s="49"/>
      <c r="F912" s="49">
        <v>450</v>
      </c>
      <c r="G912" s="49">
        <f t="shared" si="19"/>
        <v>-2676.609999999986</v>
      </c>
    </row>
    <row r="913" spans="1:7" x14ac:dyDescent="0.25">
      <c r="A913" s="5">
        <v>46059</v>
      </c>
      <c r="B913" s="77" t="s">
        <v>547</v>
      </c>
      <c r="C913" s="77">
        <v>2026</v>
      </c>
      <c r="D913" s="72" t="s">
        <v>67</v>
      </c>
      <c r="E913" s="4">
        <v>8000</v>
      </c>
      <c r="G913" s="49">
        <f>G912+E913-F913</f>
        <v>5323.390000000014</v>
      </c>
    </row>
    <row r="914" spans="1:7" x14ac:dyDescent="0.25">
      <c r="A914" s="5">
        <v>46059</v>
      </c>
      <c r="B914" s="77" t="s">
        <v>547</v>
      </c>
      <c r="C914" s="77">
        <v>2026</v>
      </c>
      <c r="D914" s="8" t="s">
        <v>545</v>
      </c>
      <c r="E914" s="47"/>
      <c r="F914" s="4">
        <v>840</v>
      </c>
      <c r="G914" s="49">
        <f t="shared" si="19"/>
        <v>4483.390000000014</v>
      </c>
    </row>
    <row r="915" spans="1:7" x14ac:dyDescent="0.25">
      <c r="A915" s="5">
        <v>46060</v>
      </c>
      <c r="B915" s="77" t="s">
        <v>547</v>
      </c>
      <c r="C915" s="77">
        <v>2026</v>
      </c>
      <c r="D915" s="8" t="s">
        <v>484</v>
      </c>
      <c r="E915" s="47"/>
      <c r="F915" s="4">
        <v>500</v>
      </c>
      <c r="G915" s="49">
        <f t="shared" si="19"/>
        <v>3983.390000000014</v>
      </c>
    </row>
    <row r="916" spans="1:7" x14ac:dyDescent="0.25">
      <c r="A916" s="5">
        <v>46062</v>
      </c>
      <c r="B916" s="77" t="s">
        <v>547</v>
      </c>
      <c r="C916" s="77">
        <v>2026</v>
      </c>
      <c r="D916" s="3" t="s">
        <v>546</v>
      </c>
      <c r="F916" s="4">
        <v>840</v>
      </c>
      <c r="G916" s="49">
        <f t="shared" si="19"/>
        <v>3143.390000000014</v>
      </c>
    </row>
    <row r="917" spans="1:7" x14ac:dyDescent="0.25">
      <c r="A917" s="5">
        <v>46064</v>
      </c>
      <c r="B917" s="77" t="s">
        <v>547</v>
      </c>
      <c r="C917" s="77">
        <v>2026</v>
      </c>
      <c r="D917" s="3" t="s">
        <v>401</v>
      </c>
      <c r="F917" s="4">
        <v>570</v>
      </c>
      <c r="G917" s="49">
        <f t="shared" si="19"/>
        <v>2573.390000000014</v>
      </c>
    </row>
    <row r="918" spans="1:7" x14ac:dyDescent="0.25">
      <c r="A918" s="5">
        <v>46066</v>
      </c>
      <c r="B918" s="77" t="s">
        <v>547</v>
      </c>
      <c r="C918" s="77">
        <v>2026</v>
      </c>
      <c r="D918" s="8" t="s">
        <v>548</v>
      </c>
      <c r="F918" s="4">
        <v>784</v>
      </c>
      <c r="G918" s="49">
        <f t="shared" si="19"/>
        <v>1789.390000000014</v>
      </c>
    </row>
    <row r="919" spans="1:7" x14ac:dyDescent="0.25">
      <c r="A919" s="5">
        <v>46066</v>
      </c>
      <c r="B919" s="77" t="s">
        <v>547</v>
      </c>
      <c r="C919" s="77">
        <v>2026</v>
      </c>
      <c r="D919" s="3" t="s">
        <v>549</v>
      </c>
      <c r="F919" s="4">
        <v>1728</v>
      </c>
      <c r="G919" s="49">
        <f t="shared" si="19"/>
        <v>61.39000000001397</v>
      </c>
    </row>
    <row r="920" spans="1:7" x14ac:dyDescent="0.25">
      <c r="A920" s="5">
        <v>46069</v>
      </c>
      <c r="B920" s="77" t="s">
        <v>547</v>
      </c>
      <c r="C920" s="77">
        <v>2026</v>
      </c>
      <c r="D920" s="3" t="s">
        <v>496</v>
      </c>
      <c r="F920" s="4">
        <v>350</v>
      </c>
      <c r="G920" s="49">
        <f t="shared" si="19"/>
        <v>-288.60999999998603</v>
      </c>
    </row>
    <row r="921" spans="1:7" x14ac:dyDescent="0.25">
      <c r="A921" s="5">
        <v>46070</v>
      </c>
      <c r="B921" s="77" t="s">
        <v>547</v>
      </c>
      <c r="C921" s="77">
        <v>2026</v>
      </c>
      <c r="D921" s="3" t="s">
        <v>550</v>
      </c>
      <c r="F921" s="4">
        <v>800</v>
      </c>
      <c r="G921" s="49">
        <f t="shared" si="19"/>
        <v>-1088.609999999986</v>
      </c>
    </row>
    <row r="922" spans="1:7" x14ac:dyDescent="0.25">
      <c r="A922" s="5">
        <v>46070</v>
      </c>
      <c r="B922" s="77" t="s">
        <v>547</v>
      </c>
      <c r="C922" s="77">
        <v>2026</v>
      </c>
      <c r="D922" s="72" t="s">
        <v>67</v>
      </c>
      <c r="E922" s="4">
        <v>7000</v>
      </c>
      <c r="G922" s="49">
        <f t="shared" si="19"/>
        <v>5911.390000000014</v>
      </c>
    </row>
    <row r="923" spans="1:7" x14ac:dyDescent="0.25">
      <c r="A923" s="5">
        <v>46070</v>
      </c>
      <c r="B923" s="77" t="s">
        <v>547</v>
      </c>
      <c r="C923" s="77">
        <v>2026</v>
      </c>
      <c r="D923" s="78" t="s">
        <v>551</v>
      </c>
      <c r="F923" s="4">
        <v>1225</v>
      </c>
      <c r="G923" s="49">
        <f t="shared" si="19"/>
        <v>4686.390000000014</v>
      </c>
    </row>
    <row r="924" spans="1:7" x14ac:dyDescent="0.25">
      <c r="A924" s="5">
        <v>46072</v>
      </c>
      <c r="B924" s="77" t="s">
        <v>547</v>
      </c>
      <c r="C924" s="77">
        <v>2026</v>
      </c>
      <c r="D924" s="72" t="s">
        <v>67</v>
      </c>
      <c r="E924" s="4">
        <v>15000</v>
      </c>
      <c r="G924" s="49">
        <f t="shared" si="19"/>
        <v>19686.390000000014</v>
      </c>
    </row>
    <row r="925" spans="1:7" x14ac:dyDescent="0.25">
      <c r="A925" s="5">
        <v>46073</v>
      </c>
      <c r="B925" s="77" t="s">
        <v>547</v>
      </c>
      <c r="C925" s="77">
        <v>2026</v>
      </c>
      <c r="D925" s="3" t="s">
        <v>552</v>
      </c>
      <c r="F925" s="4">
        <v>620</v>
      </c>
      <c r="G925" s="49">
        <f t="shared" si="19"/>
        <v>19066.390000000014</v>
      </c>
    </row>
    <row r="926" spans="1:7" x14ac:dyDescent="0.25">
      <c r="A926" s="5">
        <v>46073</v>
      </c>
      <c r="B926" s="77" t="s">
        <v>547</v>
      </c>
      <c r="C926" s="77">
        <v>2026</v>
      </c>
      <c r="D926" s="3" t="s">
        <v>553</v>
      </c>
      <c r="F926" s="4">
        <v>14000</v>
      </c>
      <c r="G926" s="49">
        <f t="shared" si="19"/>
        <v>5066.390000000014</v>
      </c>
    </row>
    <row r="927" spans="1:7" x14ac:dyDescent="0.25">
      <c r="A927" s="5">
        <v>46073</v>
      </c>
      <c r="B927" s="77" t="s">
        <v>547</v>
      </c>
      <c r="C927" s="77">
        <v>2026</v>
      </c>
      <c r="D927" s="3" t="s">
        <v>554</v>
      </c>
      <c r="F927" s="4">
        <v>600</v>
      </c>
      <c r="G927" s="49">
        <f t="shared" si="19"/>
        <v>4466.390000000014</v>
      </c>
    </row>
    <row r="928" spans="1:7" x14ac:dyDescent="0.25">
      <c r="A928" s="5">
        <v>46073</v>
      </c>
      <c r="B928" s="77" t="s">
        <v>547</v>
      </c>
      <c r="C928" s="77">
        <v>2026</v>
      </c>
      <c r="D928" s="3" t="s">
        <v>555</v>
      </c>
      <c r="F928" s="4">
        <v>340</v>
      </c>
      <c r="G928" s="49">
        <f t="shared" si="19"/>
        <v>4126.390000000014</v>
      </c>
    </row>
    <row r="929" spans="1:44" x14ac:dyDescent="0.25">
      <c r="A929" s="5">
        <v>46074</v>
      </c>
      <c r="B929" s="77" t="s">
        <v>547</v>
      </c>
      <c r="C929" s="77">
        <v>2026</v>
      </c>
      <c r="D929" s="3" t="s">
        <v>561</v>
      </c>
      <c r="F929" s="4">
        <v>1400</v>
      </c>
      <c r="G929" s="49">
        <f t="shared" si="19"/>
        <v>2726.390000000014</v>
      </c>
    </row>
    <row r="930" spans="1:44" x14ac:dyDescent="0.25">
      <c r="A930" s="5">
        <v>46074</v>
      </c>
      <c r="B930" s="77" t="s">
        <v>547</v>
      </c>
      <c r="C930" s="77">
        <v>2026</v>
      </c>
      <c r="D930" s="3" t="s">
        <v>496</v>
      </c>
      <c r="F930" s="4">
        <v>490</v>
      </c>
      <c r="G930" s="49">
        <f t="shared" si="19"/>
        <v>2236.390000000014</v>
      </c>
    </row>
    <row r="931" spans="1:44" x14ac:dyDescent="0.25">
      <c r="A931" s="5">
        <v>46076</v>
      </c>
      <c r="B931" s="77" t="s">
        <v>547</v>
      </c>
      <c r="C931" s="77">
        <v>2026</v>
      </c>
      <c r="D931" s="8" t="s">
        <v>556</v>
      </c>
      <c r="E931" s="47"/>
      <c r="F931" s="4">
        <v>2010</v>
      </c>
      <c r="G931" s="49">
        <f t="shared" si="19"/>
        <v>226.39000000001397</v>
      </c>
    </row>
    <row r="932" spans="1:44" x14ac:dyDescent="0.25">
      <c r="A932" s="5">
        <v>46076</v>
      </c>
      <c r="B932" s="77" t="s">
        <v>547</v>
      </c>
      <c r="C932" s="77">
        <v>2026</v>
      </c>
      <c r="D932" s="8" t="s">
        <v>556</v>
      </c>
      <c r="F932" s="4">
        <v>2050</v>
      </c>
      <c r="G932" s="49">
        <f t="shared" si="19"/>
        <v>-1823.609999999986</v>
      </c>
    </row>
    <row r="933" spans="1:44" x14ac:dyDescent="0.25">
      <c r="A933" s="5">
        <v>46077</v>
      </c>
      <c r="B933" s="77" t="s">
        <v>547</v>
      </c>
      <c r="C933" s="77">
        <v>2026</v>
      </c>
      <c r="D933" s="3" t="s">
        <v>557</v>
      </c>
      <c r="F933" s="4">
        <v>1300</v>
      </c>
      <c r="G933" s="49">
        <f t="shared" si="19"/>
        <v>-3123.609999999986</v>
      </c>
    </row>
    <row r="934" spans="1:44" x14ac:dyDescent="0.25">
      <c r="A934" s="5">
        <v>46077</v>
      </c>
      <c r="B934" s="77" t="s">
        <v>547</v>
      </c>
      <c r="C934" s="77">
        <v>2026</v>
      </c>
      <c r="D934" s="3" t="s">
        <v>558</v>
      </c>
      <c r="F934" s="4">
        <v>1300</v>
      </c>
      <c r="G934" s="49">
        <f t="shared" si="19"/>
        <v>-4423.609999999986</v>
      </c>
    </row>
    <row r="935" spans="1:44" x14ac:dyDescent="0.25">
      <c r="A935" s="5">
        <v>46077</v>
      </c>
      <c r="B935" s="77" t="s">
        <v>547</v>
      </c>
      <c r="C935" s="77">
        <v>2026</v>
      </c>
      <c r="D935" s="3" t="s">
        <v>494</v>
      </c>
      <c r="F935" s="4">
        <v>300</v>
      </c>
      <c r="G935" s="49">
        <f t="shared" si="19"/>
        <v>-4723.609999999986</v>
      </c>
    </row>
    <row r="936" spans="1:44" x14ac:dyDescent="0.25">
      <c r="A936" s="5">
        <v>46078</v>
      </c>
      <c r="B936" s="77" t="s">
        <v>547</v>
      </c>
      <c r="C936" s="77">
        <v>2026</v>
      </c>
      <c r="D936" s="3" t="s">
        <v>559</v>
      </c>
      <c r="F936" s="4">
        <v>10000</v>
      </c>
      <c r="G936" s="49">
        <f t="shared" si="19"/>
        <v>-14723.609999999986</v>
      </c>
    </row>
    <row r="937" spans="1:44" x14ac:dyDescent="0.25">
      <c r="A937" s="5">
        <v>46078</v>
      </c>
      <c r="B937" s="77" t="s">
        <v>547</v>
      </c>
      <c r="C937" s="77">
        <v>2026</v>
      </c>
      <c r="D937" s="3" t="s">
        <v>560</v>
      </c>
      <c r="F937" s="4">
        <v>570</v>
      </c>
      <c r="G937" s="49">
        <f t="shared" si="19"/>
        <v>-15293.609999999986</v>
      </c>
    </row>
    <row r="938" spans="1:44" x14ac:dyDescent="0.25">
      <c r="A938" s="5">
        <v>46081</v>
      </c>
      <c r="B938" s="77" t="s">
        <v>547</v>
      </c>
      <c r="C938" s="77">
        <v>2026</v>
      </c>
      <c r="D938" s="72" t="s">
        <v>67</v>
      </c>
      <c r="E938" s="4">
        <v>20000</v>
      </c>
      <c r="G938" s="49">
        <f t="shared" si="19"/>
        <v>4706.390000000014</v>
      </c>
    </row>
    <row r="939" spans="1:44" x14ac:dyDescent="0.25">
      <c r="A939" s="5">
        <v>46078</v>
      </c>
      <c r="B939" s="77" t="s">
        <v>547</v>
      </c>
      <c r="C939" s="77">
        <v>2026</v>
      </c>
      <c r="D939" s="3" t="s">
        <v>563</v>
      </c>
      <c r="F939" s="4">
        <v>200</v>
      </c>
      <c r="G939" s="49">
        <f t="shared" si="19"/>
        <v>4506.390000000014</v>
      </c>
    </row>
    <row r="940" spans="1:44" x14ac:dyDescent="0.25">
      <c r="A940" s="5">
        <v>46078</v>
      </c>
      <c r="B940" s="77" t="s">
        <v>547</v>
      </c>
      <c r="C940" s="77">
        <v>2026</v>
      </c>
      <c r="D940" s="3" t="s">
        <v>563</v>
      </c>
      <c r="F940" s="4">
        <v>45</v>
      </c>
      <c r="G940" s="49">
        <f t="shared" si="19"/>
        <v>4461.390000000014</v>
      </c>
    </row>
    <row r="941" spans="1:44" x14ac:dyDescent="0.25">
      <c r="A941" s="5">
        <v>46078</v>
      </c>
      <c r="B941" s="77" t="s">
        <v>547</v>
      </c>
      <c r="C941" s="77">
        <v>2026</v>
      </c>
      <c r="D941" s="3" t="s">
        <v>564</v>
      </c>
      <c r="F941" s="4">
        <v>600</v>
      </c>
      <c r="G941" s="49">
        <f t="shared" si="19"/>
        <v>3861.390000000014</v>
      </c>
    </row>
    <row r="942" spans="1:44" x14ac:dyDescent="0.25">
      <c r="A942" s="5">
        <v>46080</v>
      </c>
      <c r="B942" s="77" t="s">
        <v>547</v>
      </c>
      <c r="C942" s="77">
        <v>2026</v>
      </c>
      <c r="D942" s="3" t="s">
        <v>565</v>
      </c>
      <c r="F942" s="4">
        <v>1300</v>
      </c>
      <c r="G942" s="49">
        <f t="shared" si="19"/>
        <v>2561.390000000014</v>
      </c>
    </row>
    <row r="943" spans="1:44" x14ac:dyDescent="0.25">
      <c r="A943" s="5">
        <v>46081</v>
      </c>
      <c r="B943" s="77" t="s">
        <v>547</v>
      </c>
      <c r="C943" s="77">
        <v>2026</v>
      </c>
      <c r="D943" s="3" t="s">
        <v>566</v>
      </c>
      <c r="F943" s="4">
        <v>150</v>
      </c>
      <c r="G943" s="49">
        <f t="shared" si="19"/>
        <v>2411.390000000014</v>
      </c>
    </row>
    <row r="944" spans="1:44" s="16" customFormat="1" x14ac:dyDescent="0.25">
      <c r="A944" s="6">
        <v>46083</v>
      </c>
      <c r="B944" s="7" t="s">
        <v>263</v>
      </c>
      <c r="C944" s="77">
        <v>2026</v>
      </c>
      <c r="D944" s="8" t="s">
        <v>562</v>
      </c>
      <c r="E944" s="9"/>
      <c r="F944" s="9">
        <v>2135</v>
      </c>
      <c r="G944" s="47">
        <f t="shared" si="19"/>
        <v>276.39000000001397</v>
      </c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</row>
    <row r="945" spans="1:7" x14ac:dyDescent="0.25">
      <c r="A945" s="5">
        <v>46084</v>
      </c>
      <c r="B945" s="7" t="s">
        <v>263</v>
      </c>
      <c r="C945" s="77">
        <v>2026</v>
      </c>
      <c r="D945" s="8" t="s">
        <v>567</v>
      </c>
      <c r="E945" s="47"/>
      <c r="F945" s="4">
        <v>2000</v>
      </c>
      <c r="G945" s="49">
        <f t="shared" si="19"/>
        <v>-1723.609999999986</v>
      </c>
    </row>
    <row r="946" spans="1:7" x14ac:dyDescent="0.25">
      <c r="A946" s="5">
        <v>46084</v>
      </c>
      <c r="B946" s="7" t="s">
        <v>263</v>
      </c>
      <c r="C946" s="77">
        <v>2026</v>
      </c>
      <c r="D946" s="3" t="s">
        <v>569</v>
      </c>
      <c r="E946" s="47"/>
      <c r="F946" s="4">
        <v>800</v>
      </c>
      <c r="G946" s="49">
        <f t="shared" si="19"/>
        <v>-2523.609999999986</v>
      </c>
    </row>
    <row r="947" spans="1:7" x14ac:dyDescent="0.25">
      <c r="A947" s="5">
        <v>46086</v>
      </c>
      <c r="B947" s="7" t="s">
        <v>263</v>
      </c>
      <c r="C947" s="77">
        <v>2026</v>
      </c>
      <c r="D947" s="8" t="s">
        <v>568</v>
      </c>
      <c r="F947" s="4">
        <v>150</v>
      </c>
      <c r="G947" s="49">
        <f t="shared" si="19"/>
        <v>-2673.609999999986</v>
      </c>
    </row>
    <row r="948" spans="1:7" x14ac:dyDescent="0.25">
      <c r="A948" s="5">
        <v>46088</v>
      </c>
      <c r="B948" s="7" t="s">
        <v>263</v>
      </c>
      <c r="C948" s="77">
        <v>2026</v>
      </c>
      <c r="D948" s="3" t="s">
        <v>570</v>
      </c>
      <c r="F948" s="4">
        <v>720</v>
      </c>
      <c r="G948" s="49">
        <f t="shared" si="19"/>
        <v>-3393.609999999986</v>
      </c>
    </row>
    <row r="949" spans="1:7" x14ac:dyDescent="0.25">
      <c r="A949" s="5">
        <v>46088</v>
      </c>
      <c r="B949" s="7" t="s">
        <v>263</v>
      </c>
      <c r="C949" s="77">
        <v>2026</v>
      </c>
      <c r="D949" s="3" t="s">
        <v>567</v>
      </c>
      <c r="F949" s="4">
        <v>1000</v>
      </c>
      <c r="G949" s="49">
        <f t="shared" si="19"/>
        <v>-4393.609999999986</v>
      </c>
    </row>
    <row r="950" spans="1:7" x14ac:dyDescent="0.25">
      <c r="A950" s="5">
        <v>46090</v>
      </c>
      <c r="B950" s="7" t="s">
        <v>263</v>
      </c>
      <c r="C950" s="77">
        <v>2026</v>
      </c>
      <c r="D950" s="3" t="s">
        <v>567</v>
      </c>
      <c r="F950" s="4">
        <v>200</v>
      </c>
      <c r="G950" s="49">
        <f t="shared" si="19"/>
        <v>-4593.609999999986</v>
      </c>
    </row>
    <row r="951" spans="1:7" x14ac:dyDescent="0.25">
      <c r="A951" s="5">
        <v>46090</v>
      </c>
      <c r="B951" s="7" t="s">
        <v>263</v>
      </c>
      <c r="C951" s="77">
        <v>2026</v>
      </c>
      <c r="D951" s="3" t="s">
        <v>567</v>
      </c>
      <c r="F951" s="4">
        <v>1000</v>
      </c>
      <c r="G951" s="49">
        <f t="shared" ref="G951:G961" si="20">G950+E951-F951</f>
        <v>-5593.609999999986</v>
      </c>
    </row>
    <row r="952" spans="1:7" x14ac:dyDescent="0.25">
      <c r="A952" s="5">
        <v>46091</v>
      </c>
      <c r="B952" s="7" t="s">
        <v>263</v>
      </c>
      <c r="C952" s="77">
        <v>2026</v>
      </c>
      <c r="D952" s="3" t="s">
        <v>571</v>
      </c>
      <c r="F952" s="4">
        <v>500</v>
      </c>
      <c r="G952" s="49">
        <f t="shared" si="20"/>
        <v>-6093.609999999986</v>
      </c>
    </row>
    <row r="953" spans="1:7" x14ac:dyDescent="0.25">
      <c r="A953" s="5">
        <v>46092</v>
      </c>
      <c r="B953" s="7" t="s">
        <v>263</v>
      </c>
      <c r="C953" s="77">
        <v>2026</v>
      </c>
      <c r="D953" s="3" t="s">
        <v>572</v>
      </c>
      <c r="F953" s="4">
        <v>350</v>
      </c>
      <c r="G953" s="49">
        <f t="shared" si="20"/>
        <v>-6443.609999999986</v>
      </c>
    </row>
    <row r="954" spans="1:7" x14ac:dyDescent="0.25">
      <c r="A954" s="5">
        <v>46092</v>
      </c>
      <c r="B954" s="7" t="s">
        <v>263</v>
      </c>
      <c r="C954" s="77">
        <v>2026</v>
      </c>
      <c r="D954" s="72" t="s">
        <v>67</v>
      </c>
      <c r="E954" s="4">
        <v>10000</v>
      </c>
      <c r="G954" s="49">
        <f t="shared" si="20"/>
        <v>3556.390000000014</v>
      </c>
    </row>
    <row r="955" spans="1:7" x14ac:dyDescent="0.25">
      <c r="A955" s="5">
        <v>46093</v>
      </c>
      <c r="B955" s="7" t="s">
        <v>263</v>
      </c>
      <c r="C955" s="77">
        <v>2026</v>
      </c>
      <c r="D955" s="3" t="s">
        <v>528</v>
      </c>
      <c r="F955" s="4">
        <v>750</v>
      </c>
      <c r="G955" s="49">
        <f t="shared" si="20"/>
        <v>2806.390000000014</v>
      </c>
    </row>
    <row r="956" spans="1:7" x14ac:dyDescent="0.25">
      <c r="A956" s="5">
        <v>46093</v>
      </c>
      <c r="B956" s="7" t="s">
        <v>263</v>
      </c>
      <c r="C956" s="77">
        <v>2026</v>
      </c>
      <c r="D956" s="3" t="s">
        <v>567</v>
      </c>
      <c r="F956" s="4">
        <v>500</v>
      </c>
      <c r="G956" s="49">
        <f t="shared" si="20"/>
        <v>2306.390000000014</v>
      </c>
    </row>
    <row r="957" spans="1:7" x14ac:dyDescent="0.25">
      <c r="A957" s="5">
        <v>46094</v>
      </c>
      <c r="B957" s="7" t="s">
        <v>263</v>
      </c>
      <c r="C957" s="77">
        <v>2026</v>
      </c>
      <c r="D957" s="3" t="s">
        <v>573</v>
      </c>
      <c r="F957" s="4">
        <v>1050</v>
      </c>
      <c r="G957" s="49">
        <f t="shared" si="20"/>
        <v>1256.390000000014</v>
      </c>
    </row>
    <row r="958" spans="1:7" x14ac:dyDescent="0.25">
      <c r="A958" s="5">
        <v>46094</v>
      </c>
      <c r="B958" s="7" t="s">
        <v>263</v>
      </c>
      <c r="C958" s="77">
        <v>2026</v>
      </c>
      <c r="D958" s="3" t="s">
        <v>567</v>
      </c>
      <c r="E958" s="47"/>
      <c r="F958" s="47">
        <v>290</v>
      </c>
      <c r="G958" s="49">
        <f t="shared" si="20"/>
        <v>966.39000000001397</v>
      </c>
    </row>
    <row r="959" spans="1:7" x14ac:dyDescent="0.25">
      <c r="A959" s="5">
        <v>46094</v>
      </c>
      <c r="B959" s="7" t="s">
        <v>263</v>
      </c>
      <c r="C959" s="77">
        <v>2026</v>
      </c>
      <c r="D959" s="3" t="s">
        <v>567</v>
      </c>
      <c r="F959" s="4">
        <v>166</v>
      </c>
      <c r="G959" s="49">
        <f t="shared" si="20"/>
        <v>800.39000000001397</v>
      </c>
    </row>
    <row r="960" spans="1:7" x14ac:dyDescent="0.25">
      <c r="A960" s="5">
        <v>46094</v>
      </c>
      <c r="B960" s="7" t="s">
        <v>263</v>
      </c>
      <c r="C960" s="77">
        <v>2026</v>
      </c>
      <c r="D960" s="3" t="s">
        <v>567</v>
      </c>
      <c r="F960" s="4">
        <v>135</v>
      </c>
      <c r="G960" s="49">
        <f t="shared" si="20"/>
        <v>665.39000000001397</v>
      </c>
    </row>
    <row r="961" spans="1:7" x14ac:dyDescent="0.25">
      <c r="A961" s="5">
        <v>46094</v>
      </c>
      <c r="B961" s="7" t="s">
        <v>263</v>
      </c>
      <c r="C961" s="77">
        <v>2026</v>
      </c>
      <c r="D961" s="8" t="s">
        <v>562</v>
      </c>
      <c r="F961" s="4">
        <v>3300</v>
      </c>
      <c r="G961" s="49">
        <f t="shared" si="20"/>
        <v>-2634.609999999986</v>
      </c>
    </row>
    <row r="962" spans="1:7" x14ac:dyDescent="0.25">
      <c r="A962" s="5">
        <v>46097</v>
      </c>
      <c r="B962" s="7" t="s">
        <v>263</v>
      </c>
      <c r="C962" s="77">
        <v>2026</v>
      </c>
      <c r="D962" s="3" t="s">
        <v>574</v>
      </c>
      <c r="F962" s="4">
        <v>1450</v>
      </c>
      <c r="G962" s="49">
        <f t="shared" si="19"/>
        <v>-4084.609999999986</v>
      </c>
    </row>
    <row r="963" spans="1:7" x14ac:dyDescent="0.25">
      <c r="A963" s="5">
        <v>46100</v>
      </c>
      <c r="B963" s="7" t="s">
        <v>263</v>
      </c>
      <c r="C963" s="77">
        <v>2026</v>
      </c>
      <c r="D963" s="72" t="s">
        <v>67</v>
      </c>
      <c r="E963" s="49">
        <v>10000</v>
      </c>
      <c r="G963" s="49">
        <f t="shared" si="19"/>
        <v>5915.390000000014</v>
      </c>
    </row>
    <row r="964" spans="1:7" x14ac:dyDescent="0.25">
      <c r="A964" s="5">
        <v>46098</v>
      </c>
      <c r="B964" s="7" t="s">
        <v>263</v>
      </c>
      <c r="C964" s="77">
        <v>2026</v>
      </c>
      <c r="D964" s="3" t="s">
        <v>401</v>
      </c>
      <c r="F964" s="4">
        <v>420</v>
      </c>
      <c r="G964" s="49">
        <f t="shared" si="19"/>
        <v>5495.390000000014</v>
      </c>
    </row>
    <row r="965" spans="1:7" x14ac:dyDescent="0.25">
      <c r="A965" s="6">
        <v>46104</v>
      </c>
      <c r="B965" s="7" t="s">
        <v>263</v>
      </c>
      <c r="C965" s="77">
        <v>2026</v>
      </c>
      <c r="D965" s="8" t="s">
        <v>575</v>
      </c>
      <c r="E965" s="47"/>
      <c r="F965" s="47">
        <v>60</v>
      </c>
      <c r="G965" s="47">
        <f t="shared" si="19"/>
        <v>5435.390000000014</v>
      </c>
    </row>
    <row r="966" spans="1:7" x14ac:dyDescent="0.25">
      <c r="A966" s="6">
        <v>46104</v>
      </c>
      <c r="B966" s="7" t="s">
        <v>263</v>
      </c>
      <c r="C966" s="77">
        <v>2026</v>
      </c>
      <c r="D966" s="8" t="s">
        <v>575</v>
      </c>
      <c r="E966" s="47"/>
      <c r="F966" s="47">
        <v>60</v>
      </c>
      <c r="G966" s="49">
        <f t="shared" si="19"/>
        <v>5375.390000000014</v>
      </c>
    </row>
    <row r="967" spans="1:7" x14ac:dyDescent="0.25">
      <c r="A967" s="6">
        <v>46104</v>
      </c>
      <c r="B967" s="7" t="s">
        <v>263</v>
      </c>
      <c r="C967" s="77">
        <v>2026</v>
      </c>
      <c r="D967" s="3" t="s">
        <v>576</v>
      </c>
      <c r="F967" s="4">
        <v>450</v>
      </c>
      <c r="G967" s="49">
        <f t="shared" si="19"/>
        <v>4925.390000000014</v>
      </c>
    </row>
    <row r="968" spans="1:7" x14ac:dyDescent="0.25">
      <c r="A968" s="6">
        <v>46105</v>
      </c>
      <c r="B968" s="7" t="s">
        <v>263</v>
      </c>
      <c r="C968" s="77">
        <v>2026</v>
      </c>
      <c r="D968" s="3" t="s">
        <v>572</v>
      </c>
      <c r="F968" s="4">
        <v>510</v>
      </c>
      <c r="G968" s="49">
        <f t="shared" si="19"/>
        <v>4415.390000000014</v>
      </c>
    </row>
    <row r="969" spans="1:7" x14ac:dyDescent="0.25">
      <c r="A969" s="6">
        <v>46106</v>
      </c>
      <c r="B969" s="7" t="s">
        <v>263</v>
      </c>
      <c r="C969" s="77">
        <v>2026</v>
      </c>
      <c r="D969" s="3" t="s">
        <v>577</v>
      </c>
      <c r="F969" s="4">
        <v>300</v>
      </c>
      <c r="G969" s="49">
        <f t="shared" si="19"/>
        <v>4115.390000000014</v>
      </c>
    </row>
    <row r="970" spans="1:7" x14ac:dyDescent="0.25">
      <c r="A970" s="6">
        <v>46106</v>
      </c>
      <c r="B970" s="7" t="s">
        <v>263</v>
      </c>
      <c r="C970" s="77">
        <v>2026</v>
      </c>
      <c r="D970" s="3" t="s">
        <v>578</v>
      </c>
      <c r="F970" s="4">
        <v>630</v>
      </c>
      <c r="G970" s="49">
        <f t="shared" si="19"/>
        <v>3485.390000000014</v>
      </c>
    </row>
    <row r="971" spans="1:7" x14ac:dyDescent="0.25">
      <c r="A971" s="5">
        <v>46108</v>
      </c>
      <c r="B971" s="7" t="s">
        <v>263</v>
      </c>
      <c r="C971" s="77">
        <v>2026</v>
      </c>
      <c r="D971" s="3" t="s">
        <v>579</v>
      </c>
      <c r="F971" s="4">
        <v>300</v>
      </c>
      <c r="G971" s="49">
        <f t="shared" ref="G971:G1034" si="21">G970+E971-F971</f>
        <v>3185.390000000014</v>
      </c>
    </row>
    <row r="972" spans="1:7" x14ac:dyDescent="0.25">
      <c r="A972" s="5">
        <v>46108</v>
      </c>
      <c r="B972" s="7" t="s">
        <v>263</v>
      </c>
      <c r="C972" s="77">
        <v>2026</v>
      </c>
      <c r="D972" s="3" t="s">
        <v>580</v>
      </c>
      <c r="F972" s="4">
        <v>700</v>
      </c>
      <c r="G972" s="49">
        <f t="shared" si="21"/>
        <v>2485.390000000014</v>
      </c>
    </row>
    <row r="973" spans="1:7" x14ac:dyDescent="0.25">
      <c r="A973" s="5">
        <v>46108</v>
      </c>
      <c r="B973" s="7" t="s">
        <v>263</v>
      </c>
      <c r="C973" s="77">
        <v>2026</v>
      </c>
      <c r="D973" s="3" t="s">
        <v>581</v>
      </c>
      <c r="F973" s="4">
        <v>240</v>
      </c>
      <c r="G973" s="49">
        <f t="shared" si="21"/>
        <v>2245.390000000014</v>
      </c>
    </row>
    <row r="974" spans="1:7" x14ac:dyDescent="0.25">
      <c r="A974" s="5">
        <v>46109</v>
      </c>
      <c r="B974" s="7" t="s">
        <v>263</v>
      </c>
      <c r="C974" s="77">
        <v>2026</v>
      </c>
      <c r="D974" s="3" t="s">
        <v>582</v>
      </c>
      <c r="F974" s="4">
        <v>40</v>
      </c>
      <c r="G974" s="49">
        <f t="shared" si="21"/>
        <v>2205.390000000014</v>
      </c>
    </row>
    <row r="975" spans="1:7" x14ac:dyDescent="0.25">
      <c r="A975" s="5">
        <v>46109</v>
      </c>
      <c r="B975" s="7" t="s">
        <v>263</v>
      </c>
      <c r="C975" s="77">
        <v>2026</v>
      </c>
      <c r="D975" s="3" t="s">
        <v>583</v>
      </c>
      <c r="F975" s="4">
        <v>460</v>
      </c>
      <c r="G975" s="49">
        <f t="shared" si="21"/>
        <v>1745.390000000014</v>
      </c>
    </row>
    <row r="976" spans="1:7" x14ac:dyDescent="0.25">
      <c r="A976" s="5">
        <v>46109</v>
      </c>
      <c r="B976" s="7" t="s">
        <v>263</v>
      </c>
      <c r="C976" s="77">
        <v>2026</v>
      </c>
      <c r="D976" s="3" t="s">
        <v>584</v>
      </c>
      <c r="F976" s="4">
        <v>250</v>
      </c>
      <c r="G976" s="49">
        <f t="shared" si="21"/>
        <v>1495.390000000014</v>
      </c>
    </row>
    <row r="977" spans="1:7" x14ac:dyDescent="0.25">
      <c r="A977" s="5">
        <v>46109</v>
      </c>
      <c r="B977" s="7" t="s">
        <v>263</v>
      </c>
      <c r="C977" s="77">
        <v>2026</v>
      </c>
      <c r="D977" s="3" t="s">
        <v>581</v>
      </c>
      <c r="F977" s="4">
        <v>600</v>
      </c>
      <c r="G977" s="49">
        <f t="shared" si="21"/>
        <v>895.39000000001397</v>
      </c>
    </row>
    <row r="978" spans="1:7" x14ac:dyDescent="0.25">
      <c r="A978" s="5">
        <v>46109</v>
      </c>
      <c r="B978" s="7" t="s">
        <v>263</v>
      </c>
      <c r="C978" s="77">
        <v>2026</v>
      </c>
      <c r="D978" s="3" t="s">
        <v>581</v>
      </c>
      <c r="F978" s="4">
        <v>1140</v>
      </c>
      <c r="G978" s="49">
        <f t="shared" si="21"/>
        <v>-244.60999999998603</v>
      </c>
    </row>
    <row r="979" spans="1:7" x14ac:dyDescent="0.25">
      <c r="A979" s="5">
        <v>46111</v>
      </c>
      <c r="B979" s="7" t="s">
        <v>263</v>
      </c>
      <c r="C979" s="77">
        <v>2026</v>
      </c>
      <c r="D979" s="8" t="s">
        <v>583</v>
      </c>
      <c r="E979" s="47"/>
      <c r="F979" s="4">
        <v>1950</v>
      </c>
      <c r="G979" s="49">
        <f t="shared" si="21"/>
        <v>-2194.609999999986</v>
      </c>
    </row>
    <row r="980" spans="1:7" x14ac:dyDescent="0.25">
      <c r="A980" s="5">
        <v>46111</v>
      </c>
      <c r="B980" s="7" t="s">
        <v>263</v>
      </c>
      <c r="C980" s="77">
        <v>2026</v>
      </c>
      <c r="D980" s="3" t="s">
        <v>585</v>
      </c>
      <c r="F980" s="4">
        <v>1100</v>
      </c>
      <c r="G980" s="49">
        <f t="shared" si="21"/>
        <v>-3294.609999999986</v>
      </c>
    </row>
    <row r="981" spans="1:7" x14ac:dyDescent="0.25">
      <c r="A981" s="5">
        <v>46113</v>
      </c>
      <c r="B981" s="7" t="s">
        <v>263</v>
      </c>
      <c r="C981" s="77">
        <v>2026</v>
      </c>
      <c r="D981" s="3" t="s">
        <v>586</v>
      </c>
      <c r="F981" s="4">
        <v>750</v>
      </c>
      <c r="G981" s="49">
        <f t="shared" si="21"/>
        <v>-4044.609999999986</v>
      </c>
    </row>
    <row r="982" spans="1:7" x14ac:dyDescent="0.25">
      <c r="A982" s="5">
        <v>46114</v>
      </c>
      <c r="B982" s="7" t="s">
        <v>263</v>
      </c>
      <c r="C982" s="77">
        <v>2026</v>
      </c>
      <c r="D982" s="3" t="s">
        <v>587</v>
      </c>
      <c r="F982" s="4">
        <v>275</v>
      </c>
      <c r="G982" s="49">
        <f t="shared" si="21"/>
        <v>-4319.609999999986</v>
      </c>
    </row>
    <row r="983" spans="1:7" x14ac:dyDescent="0.25">
      <c r="A983" s="5">
        <v>46115</v>
      </c>
      <c r="B983" s="7" t="s">
        <v>263</v>
      </c>
      <c r="C983" s="77">
        <v>2026</v>
      </c>
      <c r="D983" s="3" t="s">
        <v>496</v>
      </c>
      <c r="F983" s="4">
        <v>300</v>
      </c>
      <c r="G983" s="49">
        <f t="shared" si="21"/>
        <v>-4619.609999999986</v>
      </c>
    </row>
    <row r="984" spans="1:7" x14ac:dyDescent="0.25">
      <c r="A984" s="5">
        <v>46100</v>
      </c>
      <c r="B984" s="7" t="s">
        <v>263</v>
      </c>
      <c r="C984" s="77">
        <v>2026</v>
      </c>
      <c r="D984" s="3" t="s">
        <v>588</v>
      </c>
      <c r="F984" s="4">
        <v>3600</v>
      </c>
      <c r="G984" s="49">
        <f t="shared" si="21"/>
        <v>-8219.609999999986</v>
      </c>
    </row>
    <row r="985" spans="1:7" x14ac:dyDescent="0.25">
      <c r="A985" s="5">
        <v>46108</v>
      </c>
      <c r="B985" s="7" t="s">
        <v>263</v>
      </c>
      <c r="C985" s="77">
        <v>2026</v>
      </c>
      <c r="D985" s="3" t="s">
        <v>589</v>
      </c>
      <c r="F985" s="4">
        <v>189</v>
      </c>
      <c r="G985" s="49">
        <f t="shared" si="21"/>
        <v>-8408.609999999986</v>
      </c>
    </row>
    <row r="986" spans="1:7" x14ac:dyDescent="0.25">
      <c r="A986" s="5">
        <v>46109</v>
      </c>
      <c r="B986" s="7" t="s">
        <v>263</v>
      </c>
      <c r="C986" s="77">
        <v>2026</v>
      </c>
      <c r="D986" s="3" t="s">
        <v>590</v>
      </c>
      <c r="F986" s="4">
        <v>1000</v>
      </c>
      <c r="G986" s="49">
        <f t="shared" si="21"/>
        <v>-9408.609999999986</v>
      </c>
    </row>
    <row r="987" spans="1:7" x14ac:dyDescent="0.25">
      <c r="A987" s="5">
        <v>46109</v>
      </c>
      <c r="B987" s="7" t="s">
        <v>263</v>
      </c>
      <c r="C987" s="77">
        <v>2026</v>
      </c>
      <c r="D987" s="3" t="s">
        <v>590</v>
      </c>
      <c r="F987" s="4">
        <v>5940</v>
      </c>
      <c r="G987" s="49">
        <f t="shared" si="21"/>
        <v>-15348.609999999986</v>
      </c>
    </row>
    <row r="988" spans="1:7" x14ac:dyDescent="0.25">
      <c r="A988" s="5">
        <v>46112</v>
      </c>
      <c r="B988" s="7" t="s">
        <v>263</v>
      </c>
      <c r="C988" s="77">
        <v>2026</v>
      </c>
      <c r="D988" s="3" t="s">
        <v>591</v>
      </c>
      <c r="F988" s="4">
        <v>5500</v>
      </c>
      <c r="G988" s="49">
        <f t="shared" si="21"/>
        <v>-20848.609999999986</v>
      </c>
    </row>
    <row r="989" spans="1:7" x14ac:dyDescent="0.25">
      <c r="A989" s="5">
        <v>46113</v>
      </c>
      <c r="B989" s="7" t="s">
        <v>280</v>
      </c>
      <c r="C989" s="77">
        <v>2026</v>
      </c>
      <c r="D989" s="8" t="s">
        <v>539</v>
      </c>
      <c r="E989" s="47"/>
      <c r="F989" s="4">
        <v>1480</v>
      </c>
      <c r="G989" s="49">
        <f t="shared" si="21"/>
        <v>-22328.609999999986</v>
      </c>
    </row>
    <row r="990" spans="1:7" x14ac:dyDescent="0.25">
      <c r="A990" s="5">
        <v>46113</v>
      </c>
      <c r="B990" s="7" t="s">
        <v>280</v>
      </c>
      <c r="C990" s="77">
        <v>2026</v>
      </c>
      <c r="D990" s="3" t="s">
        <v>592</v>
      </c>
      <c r="F990" s="4">
        <v>320</v>
      </c>
      <c r="G990" s="49">
        <f t="shared" si="21"/>
        <v>-22648.609999999986</v>
      </c>
    </row>
    <row r="991" spans="1:7" x14ac:dyDescent="0.25">
      <c r="A991" s="5">
        <v>46116</v>
      </c>
      <c r="B991" s="7" t="s">
        <v>280</v>
      </c>
      <c r="C991" s="77">
        <v>2026</v>
      </c>
      <c r="D991" s="3" t="s">
        <v>593</v>
      </c>
      <c r="F991" s="4">
        <v>900</v>
      </c>
      <c r="G991" s="49">
        <f t="shared" si="21"/>
        <v>-23548.609999999986</v>
      </c>
    </row>
    <row r="992" spans="1:7" x14ac:dyDescent="0.25">
      <c r="A992" s="5">
        <v>46118</v>
      </c>
      <c r="B992" s="7" t="s">
        <v>280</v>
      </c>
      <c r="C992" s="77">
        <v>2026</v>
      </c>
      <c r="D992" s="3" t="s">
        <v>594</v>
      </c>
      <c r="F992" s="4">
        <v>120</v>
      </c>
      <c r="G992" s="49">
        <f t="shared" si="21"/>
        <v>-23668.609999999986</v>
      </c>
    </row>
    <row r="993" spans="1:7" x14ac:dyDescent="0.25">
      <c r="A993" s="5">
        <v>46118</v>
      </c>
      <c r="B993" s="7" t="s">
        <v>280</v>
      </c>
      <c r="C993" s="77">
        <v>2026</v>
      </c>
      <c r="D993" s="3" t="s">
        <v>595</v>
      </c>
      <c r="F993" s="4">
        <v>780</v>
      </c>
      <c r="G993" s="49">
        <f t="shared" si="21"/>
        <v>-24448.609999999986</v>
      </c>
    </row>
    <row r="994" spans="1:7" x14ac:dyDescent="0.25">
      <c r="A994" s="5">
        <v>46119</v>
      </c>
      <c r="B994" s="7" t="s">
        <v>280</v>
      </c>
      <c r="C994" s="77">
        <v>2026</v>
      </c>
      <c r="D994" s="3" t="s">
        <v>596</v>
      </c>
      <c r="F994" s="4">
        <v>750</v>
      </c>
      <c r="G994" s="49">
        <f t="shared" si="21"/>
        <v>-25198.609999999986</v>
      </c>
    </row>
    <row r="995" spans="1:7" x14ac:dyDescent="0.25">
      <c r="A995" s="5">
        <v>46119</v>
      </c>
      <c r="B995" s="7" t="s">
        <v>280</v>
      </c>
      <c r="C995" s="77">
        <v>2026</v>
      </c>
      <c r="D995" s="72" t="s">
        <v>67</v>
      </c>
      <c r="E995" s="4">
        <v>25000</v>
      </c>
      <c r="G995" s="49">
        <f t="shared" si="21"/>
        <v>-198.60999999998603</v>
      </c>
    </row>
    <row r="996" spans="1:7" x14ac:dyDescent="0.25">
      <c r="A996" s="5">
        <v>46118</v>
      </c>
      <c r="B996" s="7" t="s">
        <v>280</v>
      </c>
      <c r="C996" s="77">
        <v>2026</v>
      </c>
      <c r="D996" s="3" t="s">
        <v>597</v>
      </c>
      <c r="F996" s="4">
        <v>395</v>
      </c>
      <c r="G996" s="49">
        <f t="shared" si="21"/>
        <v>-593.60999999998603</v>
      </c>
    </row>
    <row r="997" spans="1:7" x14ac:dyDescent="0.25">
      <c r="A997" s="5">
        <v>46121</v>
      </c>
      <c r="B997" s="7" t="s">
        <v>280</v>
      </c>
      <c r="C997" s="77">
        <v>2026</v>
      </c>
      <c r="D997" s="3" t="s">
        <v>599</v>
      </c>
      <c r="F997" s="4">
        <v>2160</v>
      </c>
      <c r="G997" s="49">
        <f>G996+E997-F997</f>
        <v>-2753.609999999986</v>
      </c>
    </row>
    <row r="998" spans="1:7" x14ac:dyDescent="0.25">
      <c r="A998" s="5">
        <v>46122</v>
      </c>
      <c r="B998" s="7" t="s">
        <v>280</v>
      </c>
      <c r="C998" s="77">
        <v>2026</v>
      </c>
      <c r="D998" s="3" t="s">
        <v>494</v>
      </c>
      <c r="E998" s="49"/>
      <c r="F998" s="49">
        <v>200</v>
      </c>
      <c r="G998" s="49">
        <f>G997+E998-F998</f>
        <v>-2953.609999999986</v>
      </c>
    </row>
    <row r="999" spans="1:7" x14ac:dyDescent="0.25">
      <c r="A999" s="5">
        <v>46123</v>
      </c>
      <c r="B999" s="7" t="s">
        <v>280</v>
      </c>
      <c r="C999" s="77">
        <v>2026</v>
      </c>
      <c r="D999" s="3" t="s">
        <v>598</v>
      </c>
      <c r="E999" s="49"/>
      <c r="F999" s="49">
        <v>100</v>
      </c>
      <c r="G999" s="49">
        <f>G998+E999-F999</f>
        <v>-3053.609999999986</v>
      </c>
    </row>
    <row r="1000" spans="1:7" x14ac:dyDescent="0.25">
      <c r="A1000" s="5">
        <v>46126</v>
      </c>
      <c r="B1000" s="7" t="s">
        <v>280</v>
      </c>
      <c r="C1000" s="77">
        <v>2026</v>
      </c>
      <c r="D1000" s="3" t="s">
        <v>484</v>
      </c>
      <c r="E1000" s="49"/>
      <c r="F1000" s="49">
        <v>725</v>
      </c>
      <c r="G1000" s="49">
        <f>G999+E1000-F1000</f>
        <v>-3778.609999999986</v>
      </c>
    </row>
    <row r="1001" spans="1:7" x14ac:dyDescent="0.25">
      <c r="A1001" s="5">
        <v>46128</v>
      </c>
      <c r="B1001" s="7" t="s">
        <v>280</v>
      </c>
      <c r="C1001" s="77">
        <v>2026</v>
      </c>
      <c r="D1001" s="3" t="s">
        <v>578</v>
      </c>
      <c r="E1001" s="49"/>
      <c r="F1001" s="49">
        <v>660</v>
      </c>
      <c r="G1001" s="49">
        <f>G1000+E1001-F1001</f>
        <v>-4438.609999999986</v>
      </c>
    </row>
    <row r="1002" spans="1:7" x14ac:dyDescent="0.25">
      <c r="A1002" s="5">
        <v>46121</v>
      </c>
      <c r="B1002" s="7" t="s">
        <v>280</v>
      </c>
      <c r="C1002" s="77">
        <v>2026</v>
      </c>
      <c r="D1002" s="3" t="s">
        <v>600</v>
      </c>
      <c r="F1002" s="4">
        <v>225</v>
      </c>
      <c r="G1002" s="49">
        <f t="shared" si="21"/>
        <v>-4663.609999999986</v>
      </c>
    </row>
    <row r="1003" spans="1:7" x14ac:dyDescent="0.25">
      <c r="A1003" s="5">
        <v>46125</v>
      </c>
      <c r="B1003" s="7" t="s">
        <v>280</v>
      </c>
      <c r="C1003" s="77">
        <v>2026</v>
      </c>
      <c r="D1003" s="3" t="s">
        <v>496</v>
      </c>
      <c r="F1003" s="4">
        <v>188</v>
      </c>
      <c r="G1003" s="49">
        <f t="shared" si="21"/>
        <v>-4851.609999999986</v>
      </c>
    </row>
    <row r="1004" spans="1:7" x14ac:dyDescent="0.25">
      <c r="A1004" s="5">
        <v>46129</v>
      </c>
      <c r="B1004" s="7" t="s">
        <v>280</v>
      </c>
      <c r="C1004" s="77">
        <v>2026</v>
      </c>
      <c r="D1004" s="3" t="s">
        <v>601</v>
      </c>
      <c r="F1004" s="4">
        <v>1935</v>
      </c>
      <c r="G1004" s="49">
        <f t="shared" si="21"/>
        <v>-6786.609999999986</v>
      </c>
    </row>
    <row r="1005" spans="1:7" x14ac:dyDescent="0.25">
      <c r="A1005" s="5">
        <v>46130</v>
      </c>
      <c r="B1005" s="7" t="s">
        <v>280</v>
      </c>
      <c r="C1005" s="77">
        <v>2026</v>
      </c>
      <c r="D1005" s="3" t="s">
        <v>602</v>
      </c>
      <c r="F1005" s="4">
        <v>1500</v>
      </c>
      <c r="G1005" s="49">
        <f t="shared" si="21"/>
        <v>-8286.609999999986</v>
      </c>
    </row>
    <row r="1006" spans="1:7" x14ac:dyDescent="0.25">
      <c r="A1006" s="5">
        <v>46133</v>
      </c>
      <c r="B1006" s="7" t="s">
        <v>280</v>
      </c>
      <c r="C1006" s="77">
        <v>2026</v>
      </c>
      <c r="D1006" s="72" t="s">
        <v>67</v>
      </c>
      <c r="E1006" s="4">
        <v>15000</v>
      </c>
      <c r="G1006" s="49">
        <f t="shared" si="21"/>
        <v>6713.390000000014</v>
      </c>
    </row>
    <row r="1007" spans="1:7" x14ac:dyDescent="0.25">
      <c r="A1007" s="5">
        <v>46139</v>
      </c>
      <c r="B1007" s="7" t="s">
        <v>280</v>
      </c>
      <c r="C1007" s="77">
        <v>2026</v>
      </c>
      <c r="D1007" s="3" t="s">
        <v>597</v>
      </c>
      <c r="F1007" s="4">
        <v>660</v>
      </c>
      <c r="G1007" s="49">
        <f t="shared" si="21"/>
        <v>6053.390000000014</v>
      </c>
    </row>
    <row r="1008" spans="1:7" x14ac:dyDescent="0.25">
      <c r="A1008" s="5">
        <v>46147</v>
      </c>
      <c r="B1008" s="7" t="s">
        <v>296</v>
      </c>
      <c r="C1008" s="77">
        <v>2026</v>
      </c>
      <c r="D1008" s="3" t="s">
        <v>603</v>
      </c>
      <c r="F1008" s="4">
        <v>1000</v>
      </c>
      <c r="G1008" s="49">
        <f t="shared" si="21"/>
        <v>5053.390000000014</v>
      </c>
    </row>
    <row r="1009" spans="1:17" x14ac:dyDescent="0.25">
      <c r="A1009" s="5">
        <v>46148</v>
      </c>
      <c r="B1009" s="7" t="s">
        <v>296</v>
      </c>
      <c r="C1009" s="77">
        <v>2026</v>
      </c>
      <c r="D1009" s="8" t="s">
        <v>604</v>
      </c>
      <c r="E1009" s="47"/>
      <c r="F1009" s="47">
        <v>150</v>
      </c>
      <c r="G1009" s="49">
        <f t="shared" si="21"/>
        <v>4903.390000000014</v>
      </c>
    </row>
    <row r="1010" spans="1:17" x14ac:dyDescent="0.25">
      <c r="A1010" s="5">
        <v>46148</v>
      </c>
      <c r="B1010" s="7" t="s">
        <v>296</v>
      </c>
      <c r="C1010" s="77">
        <v>2026</v>
      </c>
      <c r="D1010" s="8" t="s">
        <v>496</v>
      </c>
      <c r="E1010" s="47"/>
      <c r="F1010" s="47">
        <v>200</v>
      </c>
      <c r="G1010" s="49">
        <f t="shared" si="21"/>
        <v>4703.390000000014</v>
      </c>
    </row>
    <row r="1011" spans="1:17" x14ac:dyDescent="0.25">
      <c r="A1011" s="5">
        <v>46149</v>
      </c>
      <c r="B1011" s="7" t="s">
        <v>296</v>
      </c>
      <c r="C1011" s="77">
        <v>2026</v>
      </c>
      <c r="D1011" s="8" t="s">
        <v>605</v>
      </c>
      <c r="E1011" s="47"/>
      <c r="F1011" s="47">
        <v>1320</v>
      </c>
      <c r="G1011" s="49">
        <f t="shared" si="21"/>
        <v>3383.390000000014</v>
      </c>
      <c r="L1011" s="79"/>
      <c r="M1011" s="80"/>
      <c r="N1011" s="81"/>
      <c r="O1011" s="82"/>
      <c r="P1011" s="83"/>
      <c r="Q1011" s="83"/>
    </row>
    <row r="1012" spans="1:17" x14ac:dyDescent="0.25">
      <c r="A1012" s="5">
        <v>46151</v>
      </c>
      <c r="B1012" s="7" t="s">
        <v>296</v>
      </c>
      <c r="C1012" s="77">
        <v>2026</v>
      </c>
      <c r="D1012" s="8" t="s">
        <v>606</v>
      </c>
      <c r="E1012" s="47"/>
      <c r="F1012" s="47">
        <v>600</v>
      </c>
      <c r="G1012" s="49">
        <f t="shared" si="21"/>
        <v>2783.390000000014</v>
      </c>
      <c r="L1012" s="79"/>
      <c r="M1012" s="80"/>
      <c r="N1012" s="81"/>
      <c r="O1012" s="82"/>
      <c r="P1012" s="83"/>
      <c r="Q1012" s="83"/>
    </row>
    <row r="1013" spans="1:17" x14ac:dyDescent="0.25">
      <c r="A1013" s="5">
        <v>46154</v>
      </c>
      <c r="B1013" s="7" t="s">
        <v>296</v>
      </c>
      <c r="C1013" s="77">
        <v>2026</v>
      </c>
      <c r="D1013" s="8" t="s">
        <v>607</v>
      </c>
      <c r="E1013" s="47"/>
      <c r="F1013" s="47">
        <v>1368</v>
      </c>
      <c r="G1013" s="49">
        <f t="shared" si="21"/>
        <v>1415.390000000014</v>
      </c>
    </row>
    <row r="1014" spans="1:17" x14ac:dyDescent="0.25">
      <c r="A1014" s="5">
        <v>46154</v>
      </c>
      <c r="B1014" s="7" t="s">
        <v>296</v>
      </c>
      <c r="C1014" s="77">
        <v>2026</v>
      </c>
      <c r="D1014" s="8" t="s">
        <v>572</v>
      </c>
      <c r="E1014" s="47"/>
      <c r="F1014" s="47">
        <v>400</v>
      </c>
      <c r="G1014" s="49">
        <f t="shared" si="21"/>
        <v>1015.390000000014</v>
      </c>
    </row>
    <row r="1015" spans="1:17" x14ac:dyDescent="0.25">
      <c r="A1015" s="5">
        <v>46156</v>
      </c>
      <c r="B1015" s="7" t="s">
        <v>296</v>
      </c>
      <c r="C1015" s="77">
        <v>2026</v>
      </c>
      <c r="D1015" s="8" t="s">
        <v>608</v>
      </c>
      <c r="E1015" s="47"/>
      <c r="F1015" s="47">
        <v>625</v>
      </c>
      <c r="G1015" s="49">
        <f t="shared" si="21"/>
        <v>390.39000000001397</v>
      </c>
    </row>
    <row r="1016" spans="1:17" x14ac:dyDescent="0.25">
      <c r="A1016" s="5">
        <v>46156</v>
      </c>
      <c r="B1016" s="7" t="s">
        <v>296</v>
      </c>
      <c r="C1016" s="77">
        <v>2026</v>
      </c>
      <c r="D1016" s="8" t="s">
        <v>609</v>
      </c>
      <c r="E1016" s="47"/>
      <c r="F1016" s="47">
        <v>400</v>
      </c>
      <c r="G1016" s="49">
        <f t="shared" si="21"/>
        <v>-9.6099999999860302</v>
      </c>
      <c r="K1016" s="5">
        <v>46163</v>
      </c>
      <c r="L1016" s="7" t="s">
        <v>296</v>
      </c>
      <c r="M1016" s="77">
        <v>2026</v>
      </c>
      <c r="N1016" s="8" t="s">
        <v>618</v>
      </c>
      <c r="O1016" s="47"/>
      <c r="P1016" s="47">
        <v>852</v>
      </c>
    </row>
    <row r="1017" spans="1:17" x14ac:dyDescent="0.25">
      <c r="A1017" s="5">
        <v>15</v>
      </c>
      <c r="B1017" s="7" t="s">
        <v>280</v>
      </c>
      <c r="C1017" s="77">
        <v>2026</v>
      </c>
      <c r="D1017" s="8" t="s">
        <v>610</v>
      </c>
      <c r="E1017" s="47"/>
      <c r="F1017" s="47">
        <v>200</v>
      </c>
      <c r="G1017" s="49">
        <f t="shared" si="21"/>
        <v>-209.60999999998603</v>
      </c>
      <c r="K1017" s="5">
        <v>46154</v>
      </c>
      <c r="L1017" s="7" t="s">
        <v>280</v>
      </c>
      <c r="M1017" s="77">
        <v>2026</v>
      </c>
      <c r="N1017" s="8" t="s">
        <v>611</v>
      </c>
      <c r="O1017" s="47"/>
      <c r="P1017" s="47">
        <v>5500</v>
      </c>
    </row>
    <row r="1018" spans="1:17" x14ac:dyDescent="0.25">
      <c r="A1018" s="5">
        <v>46156</v>
      </c>
      <c r="B1018" s="7" t="s">
        <v>296</v>
      </c>
      <c r="C1018" s="77">
        <v>2026</v>
      </c>
      <c r="D1018" s="8" t="s">
        <v>572</v>
      </c>
      <c r="E1018" s="47"/>
      <c r="F1018" s="47">
        <v>450</v>
      </c>
      <c r="G1018" s="49">
        <f t="shared" si="21"/>
        <v>-659.60999999998603</v>
      </c>
      <c r="K1018" s="5">
        <v>46155</v>
      </c>
      <c r="L1018" s="7" t="s">
        <v>280</v>
      </c>
      <c r="M1018" s="77">
        <v>2026</v>
      </c>
      <c r="N1018" s="8" t="s">
        <v>611</v>
      </c>
      <c r="O1018" s="47"/>
      <c r="P1018" s="47">
        <v>700</v>
      </c>
    </row>
    <row r="1019" spans="1:17" x14ac:dyDescent="0.25">
      <c r="A1019" s="5">
        <v>46156</v>
      </c>
      <c r="B1019" s="7" t="s">
        <v>296</v>
      </c>
      <c r="C1019" s="77">
        <v>2026</v>
      </c>
      <c r="D1019" s="8" t="s">
        <v>612</v>
      </c>
      <c r="E1019" s="47"/>
      <c r="F1019" s="47">
        <v>85</v>
      </c>
      <c r="G1019" s="49">
        <f t="shared" si="21"/>
        <v>-744.60999999998603</v>
      </c>
    </row>
    <row r="1020" spans="1:17" x14ac:dyDescent="0.25">
      <c r="A1020" s="5">
        <v>46158</v>
      </c>
      <c r="B1020" s="7" t="s">
        <v>296</v>
      </c>
      <c r="C1020" s="77">
        <v>2026</v>
      </c>
      <c r="D1020" s="8" t="s">
        <v>613</v>
      </c>
      <c r="E1020" s="47"/>
      <c r="F1020" s="47">
        <v>410</v>
      </c>
      <c r="G1020" s="49">
        <f t="shared" si="21"/>
        <v>-1154.609999999986</v>
      </c>
    </row>
    <row r="1021" spans="1:17" x14ac:dyDescent="0.25">
      <c r="A1021" s="5">
        <v>46158</v>
      </c>
      <c r="B1021" s="7" t="s">
        <v>296</v>
      </c>
      <c r="C1021" s="77">
        <v>2026</v>
      </c>
      <c r="D1021" s="8" t="s">
        <v>614</v>
      </c>
      <c r="E1021" s="47"/>
      <c r="F1021" s="47">
        <v>1200</v>
      </c>
      <c r="G1021" s="49">
        <f t="shared" si="21"/>
        <v>-2354.609999999986</v>
      </c>
    </row>
    <row r="1022" spans="1:17" x14ac:dyDescent="0.25">
      <c r="A1022" s="5">
        <v>46158</v>
      </c>
      <c r="B1022" s="7" t="s">
        <v>296</v>
      </c>
      <c r="C1022" s="77">
        <v>2026</v>
      </c>
      <c r="D1022" s="8" t="s">
        <v>615</v>
      </c>
      <c r="E1022" s="47"/>
      <c r="F1022" s="47">
        <v>655</v>
      </c>
      <c r="G1022" s="49">
        <f t="shared" si="21"/>
        <v>-3009.609999999986</v>
      </c>
    </row>
    <row r="1023" spans="1:17" x14ac:dyDescent="0.25">
      <c r="A1023" s="5">
        <v>46158</v>
      </c>
      <c r="B1023" s="7" t="s">
        <v>296</v>
      </c>
      <c r="C1023" s="77">
        <v>2026</v>
      </c>
      <c r="D1023" s="8" t="s">
        <v>616</v>
      </c>
      <c r="E1023" s="47"/>
      <c r="F1023" s="47">
        <v>260</v>
      </c>
      <c r="G1023" s="49">
        <f t="shared" si="21"/>
        <v>-3269.609999999986</v>
      </c>
    </row>
    <row r="1024" spans="1:17" x14ac:dyDescent="0.25">
      <c r="A1024" s="5">
        <v>46141</v>
      </c>
      <c r="B1024" s="7" t="s">
        <v>280</v>
      </c>
      <c r="C1024" s="77">
        <v>2026</v>
      </c>
      <c r="D1024" s="8" t="s">
        <v>462</v>
      </c>
      <c r="E1024" s="47"/>
      <c r="F1024" s="47">
        <v>900</v>
      </c>
      <c r="G1024" s="49">
        <f t="shared" si="21"/>
        <v>-4169.609999999986</v>
      </c>
    </row>
    <row r="1025" spans="1:7" x14ac:dyDescent="0.25">
      <c r="A1025" s="5">
        <v>46154</v>
      </c>
      <c r="B1025" s="7" t="s">
        <v>296</v>
      </c>
      <c r="C1025" s="77">
        <v>2026</v>
      </c>
      <c r="D1025" s="8" t="s">
        <v>617</v>
      </c>
      <c r="E1025" s="47"/>
      <c r="F1025" s="47">
        <v>400</v>
      </c>
      <c r="G1025" s="49">
        <f t="shared" si="21"/>
        <v>-4569.609999999986</v>
      </c>
    </row>
    <row r="1026" spans="1:7" x14ac:dyDescent="0.25">
      <c r="A1026" s="5">
        <v>46162</v>
      </c>
      <c r="B1026" s="7" t="s">
        <v>296</v>
      </c>
      <c r="C1026" s="77">
        <v>2026</v>
      </c>
      <c r="D1026" s="8" t="s">
        <v>619</v>
      </c>
      <c r="E1026" s="47"/>
      <c r="F1026" s="47">
        <v>2300</v>
      </c>
      <c r="G1026" s="49">
        <f t="shared" si="21"/>
        <v>-6869.609999999986</v>
      </c>
    </row>
    <row r="1027" spans="1:7" x14ac:dyDescent="0.25">
      <c r="A1027" s="5">
        <v>46163</v>
      </c>
      <c r="B1027" s="7" t="s">
        <v>296</v>
      </c>
      <c r="C1027" s="77">
        <v>2026</v>
      </c>
      <c r="D1027" s="8" t="s">
        <v>618</v>
      </c>
      <c r="E1027" s="47"/>
      <c r="F1027" s="47">
        <v>852</v>
      </c>
      <c r="G1027" s="49">
        <f t="shared" si="21"/>
        <v>-7721.609999999986</v>
      </c>
    </row>
    <row r="1028" spans="1:7" x14ac:dyDescent="0.25">
      <c r="A1028" s="5">
        <v>46154</v>
      </c>
      <c r="B1028" s="7" t="s">
        <v>296</v>
      </c>
      <c r="C1028" s="77">
        <v>2026</v>
      </c>
      <c r="D1028" s="8" t="s">
        <v>611</v>
      </c>
      <c r="E1028" s="47"/>
      <c r="F1028" s="47">
        <v>5500</v>
      </c>
      <c r="G1028" s="49">
        <f t="shared" si="21"/>
        <v>-13221.609999999986</v>
      </c>
    </row>
    <row r="1029" spans="1:7" x14ac:dyDescent="0.25">
      <c r="A1029" s="5">
        <v>46155</v>
      </c>
      <c r="B1029" s="7" t="s">
        <v>296</v>
      </c>
      <c r="C1029" s="77">
        <v>2026</v>
      </c>
      <c r="D1029" s="8" t="s">
        <v>611</v>
      </c>
      <c r="E1029" s="47"/>
      <c r="F1029" s="47">
        <v>700</v>
      </c>
      <c r="G1029" s="49">
        <f t="shared" si="21"/>
        <v>-13921.609999999986</v>
      </c>
    </row>
    <row r="1030" spans="1:7" x14ac:dyDescent="0.25">
      <c r="A1030" s="5">
        <v>46163</v>
      </c>
      <c r="B1030" s="7" t="s">
        <v>296</v>
      </c>
      <c r="C1030" s="77">
        <v>2026</v>
      </c>
      <c r="D1030" s="72" t="s">
        <v>67</v>
      </c>
      <c r="E1030" s="4">
        <v>20000</v>
      </c>
      <c r="G1030" s="49">
        <f t="shared" si="21"/>
        <v>6078.390000000014</v>
      </c>
    </row>
    <row r="1031" spans="1:7" x14ac:dyDescent="0.25">
      <c r="A1031" s="5">
        <v>46113</v>
      </c>
      <c r="B1031" s="7" t="s">
        <v>280</v>
      </c>
      <c r="C1031" s="77">
        <v>2026</v>
      </c>
      <c r="D1031" s="3" t="s">
        <v>620</v>
      </c>
      <c r="F1031" s="4">
        <v>800</v>
      </c>
      <c r="G1031" s="49">
        <f t="shared" si="21"/>
        <v>5278.390000000014</v>
      </c>
    </row>
    <row r="1032" spans="1:7" x14ac:dyDescent="0.25">
      <c r="A1032" s="5">
        <v>46114</v>
      </c>
      <c r="B1032" s="7" t="s">
        <v>280</v>
      </c>
      <c r="C1032" s="77">
        <v>2026</v>
      </c>
      <c r="D1032" s="3" t="s">
        <v>621</v>
      </c>
      <c r="F1032" s="4">
        <v>800</v>
      </c>
      <c r="G1032" s="49">
        <f t="shared" si="21"/>
        <v>4478.390000000014</v>
      </c>
    </row>
    <row r="1033" spans="1:7" x14ac:dyDescent="0.25">
      <c r="A1033" s="5">
        <v>46122</v>
      </c>
      <c r="B1033" s="7" t="s">
        <v>280</v>
      </c>
      <c r="C1033" s="77">
        <v>2026</v>
      </c>
      <c r="D1033" s="3" t="s">
        <v>622</v>
      </c>
      <c r="F1033" s="4">
        <v>350</v>
      </c>
      <c r="G1033" s="49">
        <f t="shared" si="21"/>
        <v>4128.390000000014</v>
      </c>
    </row>
    <row r="1034" spans="1:7" x14ac:dyDescent="0.25">
      <c r="A1034" s="5">
        <v>46129</v>
      </c>
      <c r="B1034" s="7" t="s">
        <v>280</v>
      </c>
      <c r="C1034" s="77">
        <v>2026</v>
      </c>
      <c r="D1034" s="3" t="s">
        <v>622</v>
      </c>
      <c r="F1034" s="4">
        <v>350</v>
      </c>
      <c r="G1034" s="49">
        <f t="shared" si="21"/>
        <v>3778.390000000014</v>
      </c>
    </row>
    <row r="1035" spans="1:7" x14ac:dyDescent="0.25">
      <c r="A1035" s="5">
        <v>46133</v>
      </c>
      <c r="B1035" s="7" t="s">
        <v>280</v>
      </c>
      <c r="C1035" s="77">
        <v>2026</v>
      </c>
      <c r="D1035" s="3" t="s">
        <v>496</v>
      </c>
      <c r="F1035" s="4">
        <v>260</v>
      </c>
      <c r="G1035" s="49">
        <f t="shared" ref="G1035:G1075" si="22">G1034+E1035-F1035</f>
        <v>3518.390000000014</v>
      </c>
    </row>
    <row r="1036" spans="1:7" x14ac:dyDescent="0.25">
      <c r="A1036" s="5">
        <v>46136</v>
      </c>
      <c r="B1036" s="7" t="s">
        <v>280</v>
      </c>
      <c r="C1036" s="77">
        <v>2026</v>
      </c>
      <c r="D1036" s="3" t="s">
        <v>622</v>
      </c>
      <c r="F1036" s="4">
        <v>750</v>
      </c>
      <c r="G1036" s="49">
        <f t="shared" si="22"/>
        <v>2768.390000000014</v>
      </c>
    </row>
    <row r="1037" spans="1:7" x14ac:dyDescent="0.25">
      <c r="A1037" s="5">
        <v>46143</v>
      </c>
      <c r="B1037" s="7" t="s">
        <v>296</v>
      </c>
      <c r="C1037" s="77">
        <v>2026</v>
      </c>
      <c r="D1037" s="3" t="s">
        <v>620</v>
      </c>
      <c r="F1037" s="4">
        <v>800</v>
      </c>
      <c r="G1037" s="49">
        <f t="shared" si="22"/>
        <v>1968.390000000014</v>
      </c>
    </row>
    <row r="1038" spans="1:7" x14ac:dyDescent="0.25">
      <c r="A1038" s="5">
        <v>46150</v>
      </c>
      <c r="B1038" s="7" t="s">
        <v>296</v>
      </c>
      <c r="C1038" s="77">
        <v>2026</v>
      </c>
      <c r="D1038" s="3" t="s">
        <v>622</v>
      </c>
      <c r="F1038" s="4">
        <v>740</v>
      </c>
      <c r="G1038" s="49">
        <f t="shared" si="22"/>
        <v>1228.390000000014</v>
      </c>
    </row>
    <row r="1039" spans="1:7" x14ac:dyDescent="0.25">
      <c r="A1039" s="5">
        <v>46162</v>
      </c>
      <c r="B1039" s="7" t="s">
        <v>296</v>
      </c>
      <c r="C1039" s="77">
        <v>2026</v>
      </c>
      <c r="D1039" s="3" t="s">
        <v>623</v>
      </c>
      <c r="F1039" s="4">
        <v>3700</v>
      </c>
      <c r="G1039" s="49">
        <f t="shared" si="22"/>
        <v>-2471.609999999986</v>
      </c>
    </row>
    <row r="1040" spans="1:7" x14ac:dyDescent="0.25">
      <c r="A1040" s="5">
        <v>46162</v>
      </c>
      <c r="B1040" s="7" t="s">
        <v>296</v>
      </c>
      <c r="C1040" s="77">
        <v>2026</v>
      </c>
      <c r="D1040" s="3" t="s">
        <v>624</v>
      </c>
      <c r="F1040" s="4">
        <v>420</v>
      </c>
      <c r="G1040" s="49">
        <f t="shared" si="22"/>
        <v>-2891.609999999986</v>
      </c>
    </row>
    <row r="1041" spans="1:18" x14ac:dyDescent="0.25">
      <c r="A1041" s="5">
        <v>46162</v>
      </c>
      <c r="B1041" s="7" t="s">
        <v>296</v>
      </c>
      <c r="C1041" s="77">
        <v>2026</v>
      </c>
      <c r="D1041" s="3" t="s">
        <v>625</v>
      </c>
      <c r="F1041" s="4">
        <v>250</v>
      </c>
      <c r="G1041" s="49">
        <f t="shared" si="22"/>
        <v>-3141.609999999986</v>
      </c>
    </row>
    <row r="1042" spans="1:18" x14ac:dyDescent="0.25">
      <c r="A1042" s="5">
        <v>46164</v>
      </c>
      <c r="B1042" s="7" t="s">
        <v>296</v>
      </c>
      <c r="C1042" s="77">
        <v>2026</v>
      </c>
      <c r="D1042" s="8" t="s">
        <v>626</v>
      </c>
      <c r="E1042" s="47"/>
      <c r="F1042" s="47">
        <v>614</v>
      </c>
      <c r="G1042" s="49">
        <f t="shared" si="22"/>
        <v>-3755.609999999986</v>
      </c>
    </row>
    <row r="1043" spans="1:18" x14ac:dyDescent="0.25">
      <c r="A1043" s="5">
        <v>46164</v>
      </c>
      <c r="B1043" s="7" t="s">
        <v>296</v>
      </c>
      <c r="C1043" s="77">
        <v>2026</v>
      </c>
      <c r="D1043" s="8" t="s">
        <v>627</v>
      </c>
      <c r="E1043" s="47"/>
      <c r="F1043" s="47">
        <v>165</v>
      </c>
      <c r="G1043" s="49">
        <f t="shared" si="22"/>
        <v>-3920.609999999986</v>
      </c>
    </row>
    <row r="1044" spans="1:18" x14ac:dyDescent="0.25">
      <c r="A1044" s="5">
        <v>46164</v>
      </c>
      <c r="B1044" s="7" t="s">
        <v>296</v>
      </c>
      <c r="C1044" s="77">
        <v>2026</v>
      </c>
      <c r="D1044" s="3" t="s">
        <v>628</v>
      </c>
      <c r="F1044" s="4">
        <v>1000</v>
      </c>
      <c r="G1044" s="49">
        <f t="shared" si="22"/>
        <v>-4920.609999999986</v>
      </c>
    </row>
    <row r="1045" spans="1:18" x14ac:dyDescent="0.25">
      <c r="A1045" s="5">
        <v>46174</v>
      </c>
      <c r="B1045" s="7" t="s">
        <v>316</v>
      </c>
      <c r="C1045" s="77">
        <v>2026</v>
      </c>
      <c r="D1045" s="3" t="s">
        <v>629</v>
      </c>
      <c r="F1045" s="4">
        <v>225</v>
      </c>
      <c r="G1045" s="49">
        <f t="shared" si="22"/>
        <v>-5145.609999999986</v>
      </c>
      <c r="H1045" s="44"/>
    </row>
    <row r="1046" spans="1:18" x14ac:dyDescent="0.25">
      <c r="A1046" s="5">
        <v>46178</v>
      </c>
      <c r="B1046" s="7" t="s">
        <v>316</v>
      </c>
      <c r="C1046" s="77">
        <v>2026</v>
      </c>
      <c r="D1046" s="3" t="s">
        <v>630</v>
      </c>
      <c r="F1046" s="4">
        <v>600</v>
      </c>
      <c r="G1046" s="49">
        <f t="shared" si="22"/>
        <v>-5745.609999999986</v>
      </c>
    </row>
    <row r="1047" spans="1:18" x14ac:dyDescent="0.25">
      <c r="A1047" s="5">
        <v>46181</v>
      </c>
      <c r="B1047" s="7" t="s">
        <v>316</v>
      </c>
      <c r="C1047" s="77">
        <v>2026</v>
      </c>
      <c r="D1047" s="3" t="s">
        <v>631</v>
      </c>
      <c r="F1047" s="4">
        <v>292</v>
      </c>
      <c r="G1047" s="49">
        <f t="shared" si="22"/>
        <v>-6037.609999999986</v>
      </c>
    </row>
    <row r="1048" spans="1:18" x14ac:dyDescent="0.25">
      <c r="A1048" s="5">
        <v>46181</v>
      </c>
      <c r="B1048" s="7" t="s">
        <v>316</v>
      </c>
      <c r="C1048" s="77">
        <v>2026</v>
      </c>
      <c r="D1048" s="3" t="s">
        <v>632</v>
      </c>
      <c r="F1048" s="4">
        <v>75</v>
      </c>
      <c r="G1048" s="49">
        <f t="shared" si="22"/>
        <v>-6112.609999999986</v>
      </c>
    </row>
    <row r="1049" spans="1:18" x14ac:dyDescent="0.25">
      <c r="A1049" s="5">
        <v>46184</v>
      </c>
      <c r="B1049" s="7" t="s">
        <v>316</v>
      </c>
      <c r="C1049" s="77">
        <v>2026</v>
      </c>
      <c r="D1049" s="3" t="s">
        <v>572</v>
      </c>
      <c r="F1049" s="4">
        <v>255</v>
      </c>
      <c r="G1049" s="49">
        <f t="shared" si="22"/>
        <v>-6367.609999999986</v>
      </c>
    </row>
    <row r="1050" spans="1:18" x14ac:dyDescent="0.25">
      <c r="A1050" s="5">
        <v>46184</v>
      </c>
      <c r="B1050" s="7" t="s">
        <v>316</v>
      </c>
      <c r="C1050" s="77">
        <v>2026</v>
      </c>
      <c r="D1050" s="8" t="s">
        <v>642</v>
      </c>
      <c r="E1050" s="47"/>
      <c r="F1050" s="4">
        <v>245</v>
      </c>
      <c r="G1050" s="49">
        <f t="shared" si="22"/>
        <v>-6612.609999999986</v>
      </c>
    </row>
    <row r="1051" spans="1:18" x14ac:dyDescent="0.25">
      <c r="A1051" s="5">
        <v>46185</v>
      </c>
      <c r="B1051" s="7" t="s">
        <v>316</v>
      </c>
      <c r="C1051" s="77">
        <v>2026</v>
      </c>
      <c r="D1051" s="8" t="s">
        <v>633</v>
      </c>
      <c r="E1051" s="47"/>
      <c r="F1051" s="4">
        <v>1510</v>
      </c>
      <c r="G1051" s="49">
        <f t="shared" si="22"/>
        <v>-8122.609999999986</v>
      </c>
    </row>
    <row r="1052" spans="1:18" x14ac:dyDescent="0.25">
      <c r="A1052" s="5">
        <v>46185</v>
      </c>
      <c r="B1052" s="7" t="s">
        <v>316</v>
      </c>
      <c r="C1052" s="77">
        <v>2026</v>
      </c>
      <c r="D1052" s="8" t="s">
        <v>634</v>
      </c>
      <c r="E1052" s="47"/>
      <c r="F1052" s="4">
        <v>337</v>
      </c>
      <c r="G1052" s="49">
        <f t="shared" si="22"/>
        <v>-8459.609999999986</v>
      </c>
      <c r="M1052" s="5"/>
      <c r="N1052" s="7"/>
      <c r="O1052" s="77"/>
      <c r="P1052" s="8"/>
      <c r="Q1052" s="47"/>
      <c r="R1052" s="49"/>
    </row>
    <row r="1053" spans="1:18" x14ac:dyDescent="0.25">
      <c r="A1053" s="5">
        <v>46187</v>
      </c>
      <c r="B1053" s="7" t="s">
        <v>316</v>
      </c>
      <c r="C1053" s="77">
        <v>2026</v>
      </c>
      <c r="D1053" s="8" t="s">
        <v>635</v>
      </c>
      <c r="E1053" s="47"/>
      <c r="F1053" s="4">
        <v>840</v>
      </c>
      <c r="G1053" s="49">
        <f t="shared" si="22"/>
        <v>-9299.609999999986</v>
      </c>
      <c r="M1053" s="5"/>
      <c r="N1053" s="7"/>
      <c r="O1053" s="77"/>
      <c r="P1053" s="8"/>
      <c r="Q1053" s="47"/>
      <c r="R1053" s="49"/>
    </row>
    <row r="1054" spans="1:18" x14ac:dyDescent="0.25">
      <c r="A1054" s="5">
        <v>46188</v>
      </c>
      <c r="B1054" s="7" t="s">
        <v>316</v>
      </c>
      <c r="C1054" s="77">
        <v>2026</v>
      </c>
      <c r="D1054" s="8" t="s">
        <v>636</v>
      </c>
      <c r="E1054" s="47"/>
      <c r="F1054" s="4">
        <v>355</v>
      </c>
      <c r="G1054" s="49">
        <f t="shared" si="22"/>
        <v>-9654.609999999986</v>
      </c>
      <c r="M1054" s="5"/>
      <c r="N1054" s="7"/>
      <c r="O1054" s="77"/>
      <c r="P1054" s="8"/>
      <c r="Q1054" s="47"/>
      <c r="R1054" s="49"/>
    </row>
    <row r="1055" spans="1:18" x14ac:dyDescent="0.25">
      <c r="A1055" s="5">
        <v>46188</v>
      </c>
      <c r="B1055" s="7" t="s">
        <v>316</v>
      </c>
      <c r="C1055" s="77">
        <v>2026</v>
      </c>
      <c r="D1055" s="8" t="s">
        <v>637</v>
      </c>
      <c r="E1055" s="47"/>
      <c r="F1055" s="4">
        <v>960</v>
      </c>
      <c r="G1055" s="49">
        <f t="shared" si="22"/>
        <v>-10614.609999999986</v>
      </c>
    </row>
    <row r="1056" spans="1:18" x14ac:dyDescent="0.25">
      <c r="A1056" s="5">
        <v>46188</v>
      </c>
      <c r="B1056" s="7" t="s">
        <v>316</v>
      </c>
      <c r="C1056" s="77">
        <v>2026</v>
      </c>
      <c r="D1056" s="8" t="s">
        <v>638</v>
      </c>
      <c r="E1056" s="47"/>
      <c r="F1056" s="4">
        <v>400</v>
      </c>
      <c r="G1056" s="49">
        <f>G1055+E1056-F1056</f>
        <v>-11014.609999999986</v>
      </c>
    </row>
    <row r="1057" spans="1:7" x14ac:dyDescent="0.25">
      <c r="A1057" s="5">
        <v>46189</v>
      </c>
      <c r="B1057" s="7" t="s">
        <v>316</v>
      </c>
      <c r="C1057" s="77">
        <v>2026</v>
      </c>
      <c r="D1057" s="8" t="s">
        <v>496</v>
      </c>
      <c r="E1057" s="47"/>
      <c r="F1057" s="4">
        <v>380</v>
      </c>
      <c r="G1057" s="49">
        <f t="shared" si="22"/>
        <v>-11394.609999999986</v>
      </c>
    </row>
    <row r="1058" spans="1:7" x14ac:dyDescent="0.25">
      <c r="A1058" s="5">
        <v>46185</v>
      </c>
      <c r="B1058" s="7" t="s">
        <v>316</v>
      </c>
      <c r="C1058" s="77">
        <v>2026</v>
      </c>
      <c r="D1058" s="8" t="s">
        <v>639</v>
      </c>
      <c r="E1058" s="47"/>
      <c r="F1058" s="49">
        <v>2400</v>
      </c>
      <c r="G1058" s="49">
        <f t="shared" si="22"/>
        <v>-13794.609999999986</v>
      </c>
    </row>
    <row r="1059" spans="1:7" x14ac:dyDescent="0.25">
      <c r="A1059" s="5">
        <v>46189</v>
      </c>
      <c r="B1059" s="7" t="s">
        <v>316</v>
      </c>
      <c r="C1059" s="77">
        <v>2026</v>
      </c>
      <c r="D1059" s="8" t="s">
        <v>640</v>
      </c>
      <c r="E1059" s="47"/>
      <c r="F1059" s="49">
        <v>2360</v>
      </c>
      <c r="G1059" s="49">
        <f t="shared" si="22"/>
        <v>-16154.609999999986</v>
      </c>
    </row>
    <row r="1060" spans="1:7" x14ac:dyDescent="0.25">
      <c r="A1060" s="5">
        <v>46189</v>
      </c>
      <c r="B1060" s="7" t="s">
        <v>316</v>
      </c>
      <c r="C1060" s="77">
        <v>2026</v>
      </c>
      <c r="D1060" s="8" t="s">
        <v>641</v>
      </c>
      <c r="E1060" s="47"/>
      <c r="F1060" s="49">
        <v>840</v>
      </c>
      <c r="G1060" s="49">
        <f t="shared" si="22"/>
        <v>-16994.609999999986</v>
      </c>
    </row>
    <row r="1061" spans="1:7" x14ac:dyDescent="0.25">
      <c r="A1061" s="5">
        <v>46191</v>
      </c>
      <c r="B1061" s="7" t="s">
        <v>316</v>
      </c>
      <c r="C1061" s="77">
        <v>2026</v>
      </c>
      <c r="D1061" s="72" t="s">
        <v>67</v>
      </c>
      <c r="E1061" s="47">
        <v>25000</v>
      </c>
      <c r="G1061" s="49">
        <f t="shared" si="22"/>
        <v>8005.390000000014</v>
      </c>
    </row>
    <row r="1062" spans="1:7" x14ac:dyDescent="0.25">
      <c r="A1062" s="5">
        <v>46185</v>
      </c>
      <c r="B1062" s="7" t="s">
        <v>316</v>
      </c>
      <c r="C1062" s="77">
        <v>2026</v>
      </c>
      <c r="D1062" s="8" t="s">
        <v>643</v>
      </c>
      <c r="E1062" s="47"/>
      <c r="F1062" s="4">
        <v>700</v>
      </c>
      <c r="G1062" s="49">
        <f t="shared" si="22"/>
        <v>7305.390000000014</v>
      </c>
    </row>
    <row r="1063" spans="1:7" x14ac:dyDescent="0.25">
      <c r="A1063" s="5">
        <v>46189</v>
      </c>
      <c r="B1063" s="7" t="s">
        <v>316</v>
      </c>
      <c r="C1063" s="77">
        <v>2026</v>
      </c>
      <c r="D1063" s="8" t="s">
        <v>644</v>
      </c>
      <c r="E1063" s="47"/>
      <c r="F1063" s="4">
        <v>964</v>
      </c>
      <c r="G1063" s="49">
        <f t="shared" si="22"/>
        <v>6341.390000000014</v>
      </c>
    </row>
    <row r="1064" spans="1:7" x14ac:dyDescent="0.25">
      <c r="A1064" s="5">
        <v>46191</v>
      </c>
      <c r="B1064" s="7" t="s">
        <v>316</v>
      </c>
      <c r="C1064" s="77">
        <v>2026</v>
      </c>
      <c r="D1064" s="8" t="s">
        <v>645</v>
      </c>
      <c r="E1064" s="47"/>
      <c r="F1064" s="4">
        <v>329</v>
      </c>
      <c r="G1064" s="49">
        <f t="shared" si="22"/>
        <v>6012.390000000014</v>
      </c>
    </row>
    <row r="1065" spans="1:7" x14ac:dyDescent="0.25">
      <c r="A1065" s="5">
        <v>46191</v>
      </c>
      <c r="B1065" s="7" t="s">
        <v>316</v>
      </c>
      <c r="C1065" s="77">
        <v>2026</v>
      </c>
      <c r="D1065" s="8" t="s">
        <v>646</v>
      </c>
      <c r="E1065" s="47"/>
      <c r="F1065" s="4">
        <v>200</v>
      </c>
      <c r="G1065" s="49">
        <f t="shared" si="22"/>
        <v>5812.390000000014</v>
      </c>
    </row>
    <row r="1066" spans="1:7" x14ac:dyDescent="0.25">
      <c r="A1066" s="5">
        <v>46192</v>
      </c>
      <c r="B1066" s="7" t="s">
        <v>316</v>
      </c>
      <c r="C1066" s="77">
        <v>2026</v>
      </c>
      <c r="D1066" s="8" t="s">
        <v>647</v>
      </c>
      <c r="E1066" s="47"/>
      <c r="F1066" s="4">
        <v>200</v>
      </c>
      <c r="G1066" s="49">
        <f t="shared" si="22"/>
        <v>5612.390000000014</v>
      </c>
    </row>
    <row r="1067" spans="1:7" x14ac:dyDescent="0.25">
      <c r="A1067" s="5">
        <v>46195</v>
      </c>
      <c r="B1067" s="7" t="s">
        <v>316</v>
      </c>
      <c r="C1067" s="77">
        <v>2026</v>
      </c>
      <c r="D1067" s="8" t="s">
        <v>648</v>
      </c>
      <c r="E1067" s="47"/>
      <c r="F1067" s="4">
        <v>1000</v>
      </c>
      <c r="G1067" s="49">
        <f t="shared" si="22"/>
        <v>4612.390000000014</v>
      </c>
    </row>
    <row r="1068" spans="1:7" x14ac:dyDescent="0.25">
      <c r="A1068" s="5">
        <v>46198</v>
      </c>
      <c r="B1068" s="7" t="s">
        <v>316</v>
      </c>
      <c r="C1068" s="77">
        <v>2026</v>
      </c>
      <c r="D1068" s="8" t="s">
        <v>649</v>
      </c>
      <c r="E1068" s="47"/>
      <c r="F1068" s="4">
        <v>500</v>
      </c>
      <c r="G1068" s="49">
        <f t="shared" si="22"/>
        <v>4112.390000000014</v>
      </c>
    </row>
    <row r="1069" spans="1:7" x14ac:dyDescent="0.25">
      <c r="A1069" s="5">
        <v>46202</v>
      </c>
      <c r="B1069" s="7" t="s">
        <v>316</v>
      </c>
      <c r="C1069" s="77">
        <v>2026</v>
      </c>
      <c r="D1069" s="8" t="s">
        <v>650</v>
      </c>
      <c r="E1069" s="47"/>
      <c r="F1069" s="4">
        <v>350</v>
      </c>
      <c r="G1069" s="49">
        <f t="shared" si="22"/>
        <v>3762.390000000014</v>
      </c>
    </row>
    <row r="1070" spans="1:7" x14ac:dyDescent="0.25">
      <c r="A1070" s="5">
        <v>46202</v>
      </c>
      <c r="B1070" s="7" t="s">
        <v>316</v>
      </c>
      <c r="C1070" s="77">
        <v>2026</v>
      </c>
      <c r="D1070" s="8" t="s">
        <v>651</v>
      </c>
      <c r="E1070" s="47"/>
      <c r="F1070" s="4">
        <v>200</v>
      </c>
      <c r="G1070" s="49">
        <f t="shared" si="22"/>
        <v>3562.390000000014</v>
      </c>
    </row>
    <row r="1071" spans="1:7" x14ac:dyDescent="0.25">
      <c r="A1071" s="5">
        <v>46202</v>
      </c>
      <c r="B1071" s="7" t="s">
        <v>316</v>
      </c>
      <c r="C1071" s="77">
        <v>2026</v>
      </c>
      <c r="D1071" s="8" t="s">
        <v>652</v>
      </c>
      <c r="E1071" s="47"/>
      <c r="F1071" s="4">
        <v>387</v>
      </c>
      <c r="G1071" s="49">
        <f t="shared" si="22"/>
        <v>3175.390000000014</v>
      </c>
    </row>
    <row r="1072" spans="1:7" x14ac:dyDescent="0.25">
      <c r="A1072" s="5">
        <v>46202</v>
      </c>
      <c r="B1072" s="7" t="s">
        <v>316</v>
      </c>
      <c r="C1072" s="77">
        <v>2026</v>
      </c>
      <c r="D1072" s="8" t="s">
        <v>653</v>
      </c>
      <c r="E1072" s="47"/>
      <c r="F1072" s="4">
        <v>200</v>
      </c>
      <c r="G1072" s="49">
        <f t="shared" si="22"/>
        <v>2975.390000000014</v>
      </c>
    </row>
    <row r="1073" spans="1:7" x14ac:dyDescent="0.25">
      <c r="A1073" s="5">
        <v>46204</v>
      </c>
      <c r="B1073" s="7" t="s">
        <v>8</v>
      </c>
      <c r="C1073" s="77">
        <v>2026</v>
      </c>
      <c r="D1073" s="8" t="s">
        <v>654</v>
      </c>
      <c r="E1073" s="47"/>
      <c r="F1073" s="4">
        <v>220</v>
      </c>
      <c r="G1073" s="49">
        <f t="shared" si="22"/>
        <v>2755.390000000014</v>
      </c>
    </row>
    <row r="1074" spans="1:7" x14ac:dyDescent="0.25">
      <c r="A1074" s="5">
        <v>46204</v>
      </c>
      <c r="B1074" s="7" t="s">
        <v>8</v>
      </c>
      <c r="C1074" s="77">
        <v>2026</v>
      </c>
      <c r="D1074" s="8" t="s">
        <v>655</v>
      </c>
      <c r="E1074" s="47"/>
      <c r="F1074" s="4">
        <v>450</v>
      </c>
      <c r="G1074" s="49">
        <f t="shared" si="22"/>
        <v>2305.390000000014</v>
      </c>
    </row>
    <row r="1075" spans="1:7" x14ac:dyDescent="0.25">
      <c r="A1075" s="5">
        <v>46176</v>
      </c>
      <c r="B1075" s="7" t="s">
        <v>8</v>
      </c>
      <c r="C1075" s="77">
        <v>2026</v>
      </c>
      <c r="D1075" s="8" t="s">
        <v>607</v>
      </c>
      <c r="E1075" s="47"/>
      <c r="F1075" s="4">
        <v>1400</v>
      </c>
      <c r="G1075" s="49">
        <f t="shared" si="22"/>
        <v>905.39000000001397</v>
      </c>
    </row>
  </sheetData>
  <autoFilter ref="A2" xr:uid="{862799D9-9E07-4B05-B4B5-4599C17B4C3C}"/>
  <mergeCells count="1">
    <mergeCell ref="B1:C1"/>
  </mergeCells>
  <phoneticPr fontId="4" type="noConversion"/>
  <pageMargins left="0.94488188976377963" right="0.31496062992125984" top="0.98425196850393704" bottom="0.98425196850393704" header="0.51181102362204722" footer="0.51181102362204722"/>
  <pageSetup paperSize="9" fitToWidth="0" orientation="landscape" horizontalDpi="200" verticalDpi="200" r:id="rId1"/>
  <headerFooter alignWithMargins="0">
    <oddFooter>&amp;CSAYFA/&amp;P/&amp;N</oddFooter>
  </headerFooter>
  <rowBreaks count="1" manualBreakCount="1">
    <brk id="1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B357-1F4E-47D4-976F-079DEDA3C822}">
  <dimension ref="A1:F4"/>
  <sheetViews>
    <sheetView workbookViewId="0">
      <selection activeCell="D35" sqref="D35"/>
    </sheetView>
  </sheetViews>
  <sheetFormatPr defaultRowHeight="13.2" x14ac:dyDescent="0.25"/>
  <sheetData>
    <row r="1" spans="1:6" x14ac:dyDescent="0.25">
      <c r="A1" s="5">
        <v>46122</v>
      </c>
      <c r="B1" s="7" t="s">
        <v>280</v>
      </c>
      <c r="C1" s="77">
        <v>2026</v>
      </c>
      <c r="D1" s="3" t="s">
        <v>494</v>
      </c>
      <c r="E1" s="49"/>
      <c r="F1" s="49">
        <v>200</v>
      </c>
    </row>
    <row r="2" spans="1:6" x14ac:dyDescent="0.25">
      <c r="A2" s="5">
        <v>46123</v>
      </c>
      <c r="B2" s="7" t="s">
        <v>280</v>
      </c>
      <c r="C2" s="77">
        <v>2026</v>
      </c>
      <c r="D2" s="3" t="s">
        <v>598</v>
      </c>
      <c r="E2" s="49"/>
      <c r="F2" s="49">
        <v>100</v>
      </c>
    </row>
    <row r="3" spans="1:6" x14ac:dyDescent="0.25">
      <c r="A3" s="5">
        <v>46126</v>
      </c>
      <c r="B3" s="7" t="s">
        <v>280</v>
      </c>
      <c r="C3" s="77">
        <v>2026</v>
      </c>
      <c r="D3" s="3" t="s">
        <v>484</v>
      </c>
      <c r="E3" s="49"/>
      <c r="F3" s="49">
        <v>725</v>
      </c>
    </row>
    <row r="4" spans="1:6" x14ac:dyDescent="0.25">
      <c r="A4" s="5">
        <v>46128</v>
      </c>
      <c r="B4" s="7" t="s">
        <v>280</v>
      </c>
      <c r="C4" s="77">
        <v>2026</v>
      </c>
      <c r="D4" s="3" t="s">
        <v>578</v>
      </c>
      <c r="E4" s="49"/>
      <c r="F4" s="49">
        <v>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153D-8226-498E-BE01-A5908FFF89E5}">
  <dimension ref="B2:I39"/>
  <sheetViews>
    <sheetView workbookViewId="0">
      <selection activeCell="E40" sqref="E40"/>
    </sheetView>
  </sheetViews>
  <sheetFormatPr defaultRowHeight="13.2" x14ac:dyDescent="0.25"/>
  <cols>
    <col min="2" max="2" width="12.6640625" style="31" customWidth="1"/>
    <col min="3" max="3" width="12.109375" style="31" customWidth="1"/>
    <col min="4" max="4" width="16.88671875" style="31" customWidth="1"/>
    <col min="5" max="5" width="18.109375" style="31" customWidth="1"/>
    <col min="6" max="6" width="20.109375" style="31" customWidth="1"/>
    <col min="7" max="7" width="27.6640625" style="31" customWidth="1"/>
    <col min="8" max="8" width="8.88671875" style="31"/>
    <col min="9" max="9" width="15.88671875" customWidth="1"/>
  </cols>
  <sheetData>
    <row r="2" spans="2:8" ht="13.8" thickBot="1" x14ac:dyDescent="0.3"/>
    <row r="3" spans="2:8" ht="13.8" x14ac:dyDescent="0.25">
      <c r="B3" s="58" t="s">
        <v>0</v>
      </c>
      <c r="C3" s="59" t="s">
        <v>33</v>
      </c>
      <c r="D3" s="59" t="s">
        <v>10</v>
      </c>
      <c r="E3" s="59" t="s">
        <v>11</v>
      </c>
      <c r="F3" s="59" t="s">
        <v>12</v>
      </c>
      <c r="G3" s="64"/>
      <c r="H3" s="65"/>
    </row>
    <row r="4" spans="2:8" x14ac:dyDescent="0.25">
      <c r="B4" s="60">
        <v>45491</v>
      </c>
      <c r="C4" s="54" t="s">
        <v>13</v>
      </c>
      <c r="D4" s="55">
        <v>11</v>
      </c>
      <c r="E4" s="56">
        <v>4070</v>
      </c>
      <c r="F4" s="55">
        <f>D4*E4</f>
        <v>44770</v>
      </c>
      <c r="G4" s="57"/>
      <c r="H4" s="66"/>
    </row>
    <row r="5" spans="2:8" x14ac:dyDescent="0.25">
      <c r="B5" s="60">
        <v>45528</v>
      </c>
      <c r="C5" s="54" t="s">
        <v>13</v>
      </c>
      <c r="D5" s="55">
        <v>10.5</v>
      </c>
      <c r="E5" s="57">
        <v>3900</v>
      </c>
      <c r="F5" s="55">
        <v>40950</v>
      </c>
      <c r="G5" s="85" t="s">
        <v>108</v>
      </c>
      <c r="H5" s="86"/>
    </row>
    <row r="6" spans="2:8" x14ac:dyDescent="0.25">
      <c r="B6" s="60">
        <v>45528</v>
      </c>
      <c r="C6" s="54" t="s">
        <v>13</v>
      </c>
      <c r="D6" s="55">
        <v>10.5</v>
      </c>
      <c r="E6" s="57">
        <v>4600</v>
      </c>
      <c r="F6" s="55">
        <v>48300</v>
      </c>
      <c r="G6" s="87"/>
      <c r="H6" s="86"/>
    </row>
    <row r="7" spans="2:8" ht="13.2" customHeight="1" x14ac:dyDescent="0.25">
      <c r="B7" s="60">
        <v>45559</v>
      </c>
      <c r="C7" s="54" t="s">
        <v>13</v>
      </c>
      <c r="D7" s="55">
        <v>10.65</v>
      </c>
      <c r="E7" s="57">
        <v>4020</v>
      </c>
      <c r="F7" s="55">
        <v>42813</v>
      </c>
      <c r="G7" s="85" t="s">
        <v>148</v>
      </c>
      <c r="H7" s="88"/>
    </row>
    <row r="8" spans="2:8" x14ac:dyDescent="0.25">
      <c r="B8" s="60">
        <v>45587</v>
      </c>
      <c r="C8" s="54" t="s">
        <v>13</v>
      </c>
      <c r="D8" s="55">
        <v>10.7</v>
      </c>
      <c r="E8" s="57">
        <v>1180</v>
      </c>
      <c r="F8" s="55">
        <v>12626</v>
      </c>
      <c r="G8" s="85" t="s">
        <v>108</v>
      </c>
      <c r="H8" s="86"/>
    </row>
    <row r="9" spans="2:8" x14ac:dyDescent="0.25">
      <c r="B9" s="60">
        <v>45587</v>
      </c>
      <c r="C9" s="54" t="s">
        <v>13</v>
      </c>
      <c r="D9" s="55">
        <v>10.7</v>
      </c>
      <c r="E9" s="57">
        <v>5050</v>
      </c>
      <c r="F9" s="55">
        <v>54035</v>
      </c>
      <c r="G9" s="87"/>
      <c r="H9" s="86"/>
    </row>
    <row r="10" spans="2:8" x14ac:dyDescent="0.25">
      <c r="B10" s="60">
        <v>45624</v>
      </c>
      <c r="C10" s="54" t="s">
        <v>13</v>
      </c>
      <c r="D10" s="55">
        <v>11</v>
      </c>
      <c r="E10" s="57">
        <v>6400</v>
      </c>
      <c r="F10" s="55">
        <v>86680</v>
      </c>
      <c r="G10" s="85" t="s">
        <v>108</v>
      </c>
      <c r="H10" s="86"/>
    </row>
    <row r="11" spans="2:8" x14ac:dyDescent="0.25">
      <c r="B11" s="60">
        <v>45624</v>
      </c>
      <c r="C11" s="54" t="s">
        <v>13</v>
      </c>
      <c r="D11" s="55">
        <v>11</v>
      </c>
      <c r="E11" s="57">
        <v>1480</v>
      </c>
      <c r="F11" s="55">
        <v>16280</v>
      </c>
      <c r="G11" s="87"/>
      <c r="H11" s="86"/>
    </row>
    <row r="12" spans="2:8" x14ac:dyDescent="0.25">
      <c r="B12" s="60">
        <v>45667</v>
      </c>
      <c r="C12" s="54" t="s">
        <v>13</v>
      </c>
      <c r="D12" s="55">
        <v>11</v>
      </c>
      <c r="E12" s="57">
        <v>1200</v>
      </c>
      <c r="F12" s="55">
        <v>13200</v>
      </c>
      <c r="G12" s="85" t="s">
        <v>108</v>
      </c>
      <c r="H12" s="86"/>
    </row>
    <row r="13" spans="2:8" x14ac:dyDescent="0.25">
      <c r="B13" s="60">
        <v>45667</v>
      </c>
      <c r="C13" s="54" t="s">
        <v>13</v>
      </c>
      <c r="D13" s="55">
        <v>11</v>
      </c>
      <c r="E13" s="57">
        <v>5390</v>
      </c>
      <c r="F13" s="55">
        <v>59290</v>
      </c>
      <c r="G13" s="87"/>
      <c r="H13" s="86"/>
    </row>
    <row r="14" spans="2:8" x14ac:dyDescent="0.25">
      <c r="B14" s="60">
        <v>45726</v>
      </c>
      <c r="C14" s="54" t="s">
        <v>13</v>
      </c>
      <c r="D14" s="55">
        <v>11</v>
      </c>
      <c r="E14" s="57">
        <v>4040</v>
      </c>
      <c r="F14" s="55">
        <v>44440</v>
      </c>
      <c r="G14" s="85" t="s">
        <v>108</v>
      </c>
      <c r="H14" s="86"/>
    </row>
    <row r="15" spans="2:8" x14ac:dyDescent="0.25">
      <c r="B15" s="60">
        <v>45726</v>
      </c>
      <c r="C15" s="54" t="s">
        <v>13</v>
      </c>
      <c r="D15" s="55">
        <v>11</v>
      </c>
      <c r="E15" s="57">
        <v>5100</v>
      </c>
      <c r="F15" s="55">
        <v>56100</v>
      </c>
      <c r="G15" s="87"/>
      <c r="H15" s="86"/>
    </row>
    <row r="16" spans="2:8" x14ac:dyDescent="0.25">
      <c r="B16" s="60">
        <v>45742</v>
      </c>
      <c r="C16" s="54" t="s">
        <v>13</v>
      </c>
      <c r="D16" s="55">
        <v>11</v>
      </c>
      <c r="E16" s="57">
        <v>3100</v>
      </c>
      <c r="F16" s="55">
        <v>34100</v>
      </c>
      <c r="G16" s="85" t="s">
        <v>108</v>
      </c>
      <c r="H16" s="86"/>
    </row>
    <row r="17" spans="2:9" x14ac:dyDescent="0.25">
      <c r="B17" s="60">
        <v>45742</v>
      </c>
      <c r="C17" s="54" t="s">
        <v>13</v>
      </c>
      <c r="D17" s="55">
        <v>11</v>
      </c>
      <c r="E17" s="57">
        <v>2700</v>
      </c>
      <c r="F17" s="55">
        <v>29700</v>
      </c>
      <c r="G17" s="87"/>
      <c r="H17" s="86"/>
    </row>
    <row r="18" spans="2:9" x14ac:dyDescent="0.25">
      <c r="B18" s="60">
        <v>45762</v>
      </c>
      <c r="C18" s="54" t="s">
        <v>13</v>
      </c>
      <c r="D18" s="55">
        <v>12</v>
      </c>
      <c r="E18" s="57">
        <v>4240</v>
      </c>
      <c r="F18" s="55">
        <v>50880</v>
      </c>
      <c r="G18" s="85" t="s">
        <v>148</v>
      </c>
      <c r="H18" s="88"/>
    </row>
    <row r="19" spans="2:9" x14ac:dyDescent="0.25">
      <c r="B19" s="60">
        <v>45810</v>
      </c>
      <c r="C19" s="54" t="s">
        <v>13</v>
      </c>
      <c r="D19" s="55">
        <v>12</v>
      </c>
      <c r="E19" s="57">
        <v>3710</v>
      </c>
      <c r="F19" s="55">
        <v>44520</v>
      </c>
      <c r="G19" s="85" t="s">
        <v>108</v>
      </c>
      <c r="H19" s="86"/>
    </row>
    <row r="20" spans="2:9" x14ac:dyDescent="0.25">
      <c r="B20" s="60">
        <v>45810</v>
      </c>
      <c r="C20" s="54" t="s">
        <v>13</v>
      </c>
      <c r="D20" s="55">
        <v>12</v>
      </c>
      <c r="E20" s="57">
        <v>3150</v>
      </c>
      <c r="F20" s="55">
        <v>37800</v>
      </c>
      <c r="G20" s="87"/>
      <c r="H20" s="86"/>
    </row>
    <row r="21" spans="2:9" x14ac:dyDescent="0.25">
      <c r="B21" s="60">
        <v>45812</v>
      </c>
      <c r="C21" s="54" t="s">
        <v>13</v>
      </c>
      <c r="D21" s="55">
        <v>12</v>
      </c>
      <c r="E21" s="57">
        <v>2300</v>
      </c>
      <c r="F21" s="55">
        <v>27600</v>
      </c>
      <c r="G21" s="85" t="s">
        <v>148</v>
      </c>
      <c r="H21" s="88"/>
      <c r="I21" s="70" t="s">
        <v>315</v>
      </c>
    </row>
    <row r="22" spans="2:9" x14ac:dyDescent="0.25">
      <c r="B22" s="60">
        <v>45857</v>
      </c>
      <c r="C22" s="54" t="s">
        <v>13</v>
      </c>
      <c r="D22" s="74" t="s">
        <v>356</v>
      </c>
      <c r="E22" s="57">
        <v>4030</v>
      </c>
      <c r="F22" s="73" t="s">
        <v>357</v>
      </c>
      <c r="G22" s="85" t="s">
        <v>148</v>
      </c>
      <c r="H22" s="88"/>
    </row>
    <row r="23" spans="2:9" x14ac:dyDescent="0.25">
      <c r="B23" s="60">
        <v>45857</v>
      </c>
      <c r="C23" s="54" t="s">
        <v>13</v>
      </c>
      <c r="D23" s="74" t="s">
        <v>356</v>
      </c>
      <c r="E23" s="57">
        <v>940</v>
      </c>
      <c r="F23" s="73" t="s">
        <v>358</v>
      </c>
      <c r="G23" s="85" t="s">
        <v>148</v>
      </c>
      <c r="H23" s="88"/>
    </row>
    <row r="24" spans="2:9" x14ac:dyDescent="0.25">
      <c r="B24" s="61"/>
      <c r="C24" s="57"/>
      <c r="D24" s="54" t="s">
        <v>355</v>
      </c>
      <c r="E24" s="57"/>
      <c r="F24" s="57"/>
      <c r="G24" s="57"/>
      <c r="H24" s="66"/>
    </row>
    <row r="25" spans="2:9" x14ac:dyDescent="0.25">
      <c r="B25" s="61"/>
      <c r="C25" s="57"/>
      <c r="D25" s="57"/>
      <c r="E25" s="57"/>
      <c r="F25" s="57"/>
      <c r="G25" s="57"/>
      <c r="H25" s="66"/>
    </row>
    <row r="26" spans="2:9" x14ac:dyDescent="0.25">
      <c r="B26" s="61"/>
      <c r="C26" s="57"/>
      <c r="D26" s="57"/>
      <c r="E26" s="57"/>
      <c r="F26" s="57"/>
      <c r="G26" s="57"/>
      <c r="H26" s="66"/>
    </row>
    <row r="27" spans="2:9" x14ac:dyDescent="0.25">
      <c r="B27" s="61"/>
      <c r="C27" s="57"/>
      <c r="D27" s="57"/>
      <c r="E27" s="57"/>
      <c r="F27" s="57"/>
      <c r="G27" s="57"/>
      <c r="H27" s="66"/>
    </row>
    <row r="28" spans="2:9" x14ac:dyDescent="0.25">
      <c r="B28" s="61"/>
      <c r="C28" s="57"/>
      <c r="D28" s="57"/>
      <c r="E28" s="57"/>
      <c r="F28" s="57"/>
      <c r="G28" s="57"/>
      <c r="H28" s="66"/>
    </row>
    <row r="29" spans="2:9" x14ac:dyDescent="0.25">
      <c r="B29" s="61"/>
      <c r="C29" s="57"/>
      <c r="D29" s="57"/>
      <c r="E29" s="57"/>
      <c r="F29" s="57"/>
      <c r="G29" s="57"/>
      <c r="H29" s="66"/>
    </row>
    <row r="30" spans="2:9" x14ac:dyDescent="0.25">
      <c r="B30" s="61"/>
      <c r="C30" s="57"/>
      <c r="D30" s="57"/>
      <c r="E30" s="57"/>
      <c r="F30" s="57"/>
      <c r="G30" s="57"/>
      <c r="H30" s="66"/>
    </row>
    <row r="31" spans="2:9" x14ac:dyDescent="0.25">
      <c r="B31" s="61"/>
      <c r="C31" s="57"/>
      <c r="D31" s="57"/>
      <c r="E31" s="57"/>
      <c r="F31" s="57"/>
      <c r="G31" s="57"/>
      <c r="H31" s="66"/>
    </row>
    <row r="32" spans="2:9" x14ac:dyDescent="0.25">
      <c r="B32" s="61"/>
      <c r="C32" s="57"/>
      <c r="D32" s="57"/>
      <c r="E32" s="57"/>
      <c r="F32" s="57"/>
      <c r="G32" s="57"/>
      <c r="H32" s="66"/>
    </row>
    <row r="33" spans="2:8" x14ac:dyDescent="0.25">
      <c r="B33" s="61"/>
      <c r="C33" s="57"/>
      <c r="D33" s="57"/>
      <c r="E33" s="57"/>
      <c r="F33" s="57"/>
      <c r="G33" s="57"/>
      <c r="H33" s="66"/>
    </row>
    <row r="34" spans="2:8" x14ac:dyDescent="0.25">
      <c r="B34" s="61"/>
      <c r="C34" s="57"/>
      <c r="D34" s="57"/>
      <c r="E34" s="57"/>
      <c r="F34" s="57"/>
      <c r="G34" s="57"/>
      <c r="H34" s="66"/>
    </row>
    <row r="35" spans="2:8" x14ac:dyDescent="0.25">
      <c r="B35" s="61"/>
      <c r="C35" s="57"/>
      <c r="D35" s="57"/>
      <c r="E35" s="57"/>
      <c r="F35" s="57"/>
      <c r="G35" s="57"/>
      <c r="H35" s="66"/>
    </row>
    <row r="36" spans="2:8" x14ac:dyDescent="0.25">
      <c r="B36" s="61"/>
      <c r="C36" s="57"/>
      <c r="D36" s="57"/>
      <c r="E36" s="57"/>
      <c r="F36" s="57"/>
      <c r="G36" s="57"/>
      <c r="H36" s="66"/>
    </row>
    <row r="37" spans="2:8" x14ac:dyDescent="0.25">
      <c r="B37" s="61"/>
      <c r="C37" s="57"/>
      <c r="D37" s="57"/>
      <c r="E37" s="57"/>
      <c r="F37" s="57"/>
      <c r="G37" s="57"/>
      <c r="H37" s="66"/>
    </row>
    <row r="38" spans="2:8" x14ac:dyDescent="0.25">
      <c r="B38" s="61"/>
      <c r="C38" s="57"/>
      <c r="D38" s="57"/>
      <c r="E38" s="57"/>
      <c r="F38" s="57"/>
      <c r="G38" s="57"/>
      <c r="H38" s="66"/>
    </row>
    <row r="39" spans="2:8" ht="18" thickBot="1" x14ac:dyDescent="0.35">
      <c r="B39" s="62"/>
      <c r="C39" s="63"/>
      <c r="D39" s="63"/>
      <c r="E39" s="69">
        <f>SUM(E4:E38)</f>
        <v>70600</v>
      </c>
      <c r="F39" s="68">
        <f>SUM(F4:F38)</f>
        <v>744084</v>
      </c>
      <c r="G39" s="63"/>
      <c r="H39" s="67"/>
    </row>
  </sheetData>
  <mergeCells count="12">
    <mergeCell ref="G22:H22"/>
    <mergeCell ref="G23:H23"/>
    <mergeCell ref="G19:H20"/>
    <mergeCell ref="G21:H21"/>
    <mergeCell ref="G18:H18"/>
    <mergeCell ref="G16:H17"/>
    <mergeCell ref="G5:H6"/>
    <mergeCell ref="G7:H7"/>
    <mergeCell ref="G8:H9"/>
    <mergeCell ref="G10:H11"/>
    <mergeCell ref="G12:H13"/>
    <mergeCell ref="G14:H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ARNAVUTKÖY</vt:lpstr>
      <vt:lpstr>Sayfa1</vt:lpstr>
      <vt:lpstr>HURDA SATIŞ İCMAALİ</vt:lpstr>
      <vt:lpstr>ARNAVUTKÖY!Yazdırma_Alanı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</dc:creator>
  <cp:lastModifiedBy>kibar özer</cp:lastModifiedBy>
  <cp:lastPrinted>2025-12-15T10:45:19Z</cp:lastPrinted>
  <dcterms:created xsi:type="dcterms:W3CDTF">2006-01-04T17:49:52Z</dcterms:created>
  <dcterms:modified xsi:type="dcterms:W3CDTF">2026-08-11T12:31:29Z</dcterms:modified>
</cp:coreProperties>
</file>